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Description" sheetId="1" state="visible" r:id="rId1"/>
    <sheet xmlns:r="http://schemas.openxmlformats.org/officeDocument/2006/relationships" name="Q1 Answer" sheetId="2" state="visible" r:id="rId2"/>
    <sheet xmlns:r="http://schemas.openxmlformats.org/officeDocument/2006/relationships" name="Q2 Answer" sheetId="3" state="visible" r:id="rId3"/>
  </sheets>
  <definedNames/>
  <calcPr calcId="191029" fullCalcOnLoad="1"/>
</workbook>
</file>

<file path=xl/styles.xml><?xml version="1.0" encoding="utf-8"?>
<styleSheet xmlns="http://schemas.openxmlformats.org/spreadsheetml/2006/main">
  <numFmts count="0"/>
  <fonts count="6">
    <font>
      <name val="Arial"/>
      <color rgb="FF000000"/>
      <sz val="10"/>
      <scheme val="minor"/>
    </font>
    <font>
      <name val="Arial"/>
      <family val="2"/>
      <b val="1"/>
      <color theme="1"/>
      <sz val="10"/>
      <scheme val="minor"/>
    </font>
    <font>
      <name val="Arial"/>
      <family val="2"/>
      <color theme="1"/>
      <sz val="10"/>
      <scheme val="minor"/>
    </font>
    <font>
      <name val="Roboto"/>
      <color rgb="FF000000"/>
      <sz val="10"/>
    </font>
    <font>
      <name val="Arial"/>
      <family val="2"/>
      <color theme="1"/>
      <sz val="10"/>
    </font>
    <font>
      <name val="Arial"/>
      <family val="2"/>
      <b val="1"/>
      <color theme="1"/>
      <sz val="10"/>
    </font>
  </fonts>
  <fills count="3">
    <fill>
      <patternFill/>
    </fill>
    <fill>
      <patternFill patternType="gray125"/>
    </fill>
    <fill>
      <patternFill patternType="solid">
        <fgColor rgb="FFFFFFFF"/>
        <bgColor rgb="FFFFFFFF"/>
      </patternFill>
    </fill>
  </fills>
  <borders count="1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s>
  <cellStyleXfs count="1">
    <xf numFmtId="0" fontId="0" fillId="0" borderId="0"/>
  </cellStyleXfs>
  <cellXfs count="32">
    <xf numFmtId="0" fontId="0" fillId="0" borderId="0" pivotButton="0" quotePrefix="0" xfId="0"/>
    <xf numFmtId="0" fontId="1" fillId="0" borderId="0" pivotButton="0" quotePrefix="0" xfId="0"/>
    <xf numFmtId="0" fontId="1" fillId="0" borderId="1" pivotButton="0" quotePrefix="0" xfId="0"/>
    <xf numFmtId="0" fontId="1" fillId="0" borderId="2" applyAlignment="1" pivotButton="0" quotePrefix="0" xfId="0">
      <alignment horizontal="center"/>
    </xf>
    <xf numFmtId="0" fontId="1" fillId="0" borderId="3" applyAlignment="1" pivotButton="0" quotePrefix="0" xfId="0">
      <alignment horizontal="center"/>
    </xf>
    <xf numFmtId="0" fontId="2" fillId="0" borderId="4" applyAlignment="1" pivotButton="0" quotePrefix="0" xfId="0">
      <alignment horizontal="center" vertical="center"/>
    </xf>
    <xf numFmtId="0" fontId="2" fillId="0" borderId="0" applyAlignment="1" pivotButton="0" quotePrefix="0" xfId="0">
      <alignment horizontal="center"/>
    </xf>
    <xf numFmtId="0" fontId="2" fillId="0" borderId="5" applyAlignment="1" pivotButton="0" quotePrefix="0" xfId="0">
      <alignment horizontal="center"/>
    </xf>
    <xf numFmtId="0" fontId="2" fillId="0" borderId="6" applyAlignment="1" pivotButton="0" quotePrefix="0" xfId="0">
      <alignment horizontal="center"/>
    </xf>
    <xf numFmtId="0" fontId="2" fillId="0" borderId="7" applyAlignment="1" pivotButton="0" quotePrefix="0" xfId="0">
      <alignment horizontal="center"/>
    </xf>
    <xf numFmtId="0" fontId="2" fillId="0" borderId="8" applyAlignment="1" pivotButton="0" quotePrefix="0" xfId="0">
      <alignment horizontal="center"/>
    </xf>
    <xf numFmtId="0" fontId="2" fillId="0" borderId="9" applyAlignment="1" pivotButton="0" quotePrefix="0" xfId="0">
      <alignment horizontal="center"/>
    </xf>
    <xf numFmtId="0" fontId="2" fillId="0" borderId="10" applyAlignment="1" pivotButton="0" quotePrefix="0" xfId="0">
      <alignment horizontal="center" vertical="center"/>
    </xf>
    <xf numFmtId="0" fontId="2" fillId="0" borderId="11" applyAlignment="1" pivotButton="0" quotePrefix="0" xfId="0">
      <alignment horizontal="center" vertical="center"/>
    </xf>
    <xf numFmtId="0" fontId="3" fillId="2" borderId="0" applyAlignment="1" pivotButton="0" quotePrefix="0" xfId="0">
      <alignment horizontal="center"/>
    </xf>
    <xf numFmtId="0" fontId="3" fillId="2" borderId="4" applyAlignment="1" pivotButton="0" quotePrefix="0" xfId="0">
      <alignment horizontal="center"/>
    </xf>
    <xf numFmtId="0" fontId="3" fillId="2" borderId="11" applyAlignment="1" pivotButton="0" quotePrefix="0" xfId="0">
      <alignment horizontal="center"/>
    </xf>
    <xf numFmtId="0" fontId="2" fillId="0" borderId="0" pivotButton="0" quotePrefix="0" xfId="0"/>
    <xf numFmtId="0" fontId="1" fillId="0" borderId="0" applyAlignment="1" pivotButton="0" quotePrefix="0" xfId="0">
      <alignment horizontal="center"/>
    </xf>
    <xf numFmtId="0" fontId="1" fillId="0" borderId="10" applyAlignment="1" pivotButton="0" quotePrefix="0" xfId="0">
      <alignment horizontal="center"/>
    </xf>
    <xf numFmtId="0" fontId="1" fillId="0" borderId="5" applyAlignment="1" pivotButton="0" quotePrefix="0" xfId="0">
      <alignment horizontal="center"/>
    </xf>
    <xf numFmtId="0" fontId="1" fillId="0" borderId="6" applyAlignment="1" pivotButton="0" quotePrefix="0" xfId="0">
      <alignment horizontal="center"/>
    </xf>
    <xf numFmtId="0" fontId="1" fillId="0" borderId="4" pivotButton="0" quotePrefix="0" xfId="0"/>
    <xf numFmtId="0" fontId="1" fillId="0" borderId="11" pivotButton="0" quotePrefix="0" xfId="0"/>
    <xf numFmtId="0" fontId="1" fillId="0" borderId="1" applyAlignment="1" pivotButton="0" quotePrefix="0" xfId="0">
      <alignment horizontal="center"/>
    </xf>
    <xf numFmtId="0" fontId="1" fillId="0" borderId="10" pivotButton="0" quotePrefix="0" xfId="0"/>
    <xf numFmtId="0" fontId="2" fillId="0" borderId="5" pivotButton="0" quotePrefix="0" xfId="0"/>
    <xf numFmtId="0" fontId="1" fillId="0" borderId="5" pivotButton="0" quotePrefix="0" xfId="0"/>
    <xf numFmtId="0" fontId="2" fillId="0" borderId="6" pivotButton="0" quotePrefix="0" xfId="0"/>
    <xf numFmtId="0" fontId="2" fillId="0" borderId="7" pivotButton="0" quotePrefix="0" xfId="0"/>
    <xf numFmtId="0" fontId="2" fillId="0" borderId="8" pivotButton="0" quotePrefix="0" xfId="0"/>
    <xf numFmtId="0" fontId="4" fillId="0" borderId="0" pivotButton="0" quotePrefix="0" xfId="0"/>
  </cellXfs>
  <cellStyles count="1">
    <cellStyle name="Normal" xfId="0" builtinId="0"/>
  </cellStyles>
  <dxfs count="18">
    <dxf>
      <fill>
        <patternFill patternType="solid">
          <fgColor rgb="FFF4CCCC"/>
          <bgColor rgb="FFF4CCCC"/>
        </patternFill>
      </fill>
    </dxf>
    <dxf>
      <fill>
        <patternFill patternType="solid">
          <fgColor rgb="FFB7E1CD"/>
          <bgColor rgb="FFB7E1CD"/>
        </patternFill>
      </fill>
    </dxf>
    <dxf>
      <fill>
        <patternFill patternType="solid">
          <fgColor rgb="FFF4CCCC"/>
          <bgColor rgb="FFF4CCCC"/>
        </patternFill>
      </fill>
    </dxf>
    <dxf>
      <fill>
        <patternFill patternType="solid">
          <fgColor rgb="FFB7E1CD"/>
          <bgColor rgb="FFB7E1CD"/>
        </patternFill>
      </fill>
    </dxf>
    <dxf>
      <fill>
        <patternFill patternType="solid">
          <fgColor rgb="FFFF9900"/>
          <bgColor rgb="FFFF9900"/>
        </patternFill>
      </fill>
    </dxf>
    <dxf>
      <fill>
        <patternFill patternType="solid">
          <fgColor rgb="FFFF00FF"/>
          <bgColor rgb="FFFF00FF"/>
        </patternFill>
      </fill>
    </dxf>
    <dxf>
      <fill>
        <patternFill patternType="solid">
          <fgColor rgb="FF00FFFF"/>
          <bgColor rgb="FF00FFFF"/>
        </patternFill>
      </fill>
    </dxf>
    <dxf>
      <fill>
        <patternFill patternType="solid">
          <fgColor rgb="FFD9D9D9"/>
          <bgColor rgb="FFD9D9D9"/>
        </patternFill>
      </fill>
    </dxf>
    <dxf>
      <fill>
        <patternFill patternType="solid">
          <fgColor rgb="FFF4CCCC"/>
          <bgColor rgb="FFF4CCCC"/>
        </patternFill>
      </fill>
    </dxf>
    <dxf>
      <fill>
        <patternFill patternType="solid">
          <fgColor rgb="FFB7E1CD"/>
          <bgColor rgb="FFB7E1CD"/>
        </patternFill>
      </fill>
    </dxf>
    <dxf>
      <fill>
        <patternFill patternType="solid">
          <fgColor rgb="FFF4CCCC"/>
          <bgColor rgb="FFF4CCCC"/>
        </patternFill>
      </fill>
    </dxf>
    <dxf>
      <fill>
        <patternFill patternType="solid">
          <fgColor rgb="FFB7E1CD"/>
          <bgColor rgb="FFB7E1CD"/>
        </patternFill>
      </fill>
    </dxf>
    <dxf>
      <fill>
        <patternFill patternType="solid">
          <fgColor rgb="FFFF9900"/>
          <bgColor rgb="FFFF9900"/>
        </patternFill>
      </fill>
    </dxf>
    <dxf>
      <fill>
        <patternFill patternType="solid">
          <fgColor rgb="FFFF00FF"/>
          <bgColor rgb="FFFF00FF"/>
        </patternFill>
      </fill>
    </dxf>
    <dxf>
      <fill>
        <patternFill patternType="solid">
          <fgColor rgb="FF00FFFF"/>
          <bgColor rgb="FF00FFFF"/>
        </patternFill>
      </fill>
    </dxf>
    <dxf>
      <fill>
        <patternFill patternType="solid">
          <fgColor rgb="FFD9D9D9"/>
          <bgColor rgb="FFD9D9D9"/>
        </patternFill>
      </fill>
    </dxf>
    <dxf>
      <fill>
        <patternFill patternType="solid">
          <fgColor rgb="FFF4CCCC"/>
          <bgColor rgb="FFF4CCCC"/>
        </patternFill>
      </fill>
    </dxf>
    <dxf>
      <fill>
        <patternFill patternType="solid">
          <fgColor rgb="FFB7E1CD"/>
          <bgColor rgb="FFB7E1CD"/>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AH32"/>
  <sheetViews>
    <sheetView tabSelected="1" topLeftCell="A13" workbookViewId="0">
      <selection activeCell="A32" sqref="A32"/>
    </sheetView>
  </sheetViews>
  <sheetFormatPr baseColWidth="8" defaultColWidth="12.6640625" defaultRowHeight="15.75" customHeight="1"/>
  <cols>
    <col width="6.44140625" customWidth="1" min="1" max="1"/>
    <col width="6.6640625" customWidth="1" min="2" max="35"/>
  </cols>
  <sheetData>
    <row r="1">
      <c r="A1" s="1" t="inlineStr">
        <is>
          <t>Demand Table</t>
        </is>
      </c>
    </row>
    <row r="2">
      <c r="A2" s="2" t="inlineStr">
        <is>
          <t>Zone</t>
        </is>
      </c>
      <c r="B2" s="3" t="inlineStr">
        <is>
          <t>Shift</t>
        </is>
      </c>
      <c r="C2" s="3" t="inlineStr">
        <is>
          <t>Day 1</t>
        </is>
      </c>
      <c r="D2" s="3" t="inlineStr">
        <is>
          <t>Day 2</t>
        </is>
      </c>
      <c r="E2" s="3" t="inlineStr">
        <is>
          <t>Day 3</t>
        </is>
      </c>
      <c r="F2" s="3" t="inlineStr">
        <is>
          <t>Day 4</t>
        </is>
      </c>
      <c r="G2" s="3" t="inlineStr">
        <is>
          <t>Day 5</t>
        </is>
      </c>
      <c r="H2" s="3" t="inlineStr">
        <is>
          <t>Day 6</t>
        </is>
      </c>
      <c r="I2" s="3" t="inlineStr">
        <is>
          <t>Day 7</t>
        </is>
      </c>
      <c r="J2" s="3" t="inlineStr">
        <is>
          <t>Day 8</t>
        </is>
      </c>
      <c r="K2" s="3" t="inlineStr">
        <is>
          <t>Day 9</t>
        </is>
      </c>
      <c r="L2" s="3" t="inlineStr">
        <is>
          <t>Day 10</t>
        </is>
      </c>
      <c r="M2" s="3" t="inlineStr">
        <is>
          <t>Day 11</t>
        </is>
      </c>
      <c r="N2" s="3" t="inlineStr">
        <is>
          <t>Day 12</t>
        </is>
      </c>
      <c r="O2" s="3" t="inlineStr">
        <is>
          <t>Day 13</t>
        </is>
      </c>
      <c r="P2" s="3" t="inlineStr">
        <is>
          <t>Day 14</t>
        </is>
      </c>
      <c r="Q2" s="3" t="inlineStr">
        <is>
          <t>Day 15</t>
        </is>
      </c>
      <c r="R2" s="3" t="inlineStr">
        <is>
          <t>Day 16</t>
        </is>
      </c>
      <c r="S2" s="3" t="inlineStr">
        <is>
          <t>Day 17</t>
        </is>
      </c>
      <c r="T2" s="3" t="inlineStr">
        <is>
          <t>Day 18</t>
        </is>
      </c>
      <c r="U2" s="3" t="inlineStr">
        <is>
          <t>Day 19</t>
        </is>
      </c>
      <c r="V2" s="3" t="inlineStr">
        <is>
          <t>Day 20</t>
        </is>
      </c>
      <c r="W2" s="3" t="inlineStr">
        <is>
          <t>Day 21</t>
        </is>
      </c>
      <c r="X2" s="3" t="inlineStr">
        <is>
          <t>Day 22</t>
        </is>
      </c>
      <c r="Y2" s="3" t="inlineStr">
        <is>
          <t>Day 23</t>
        </is>
      </c>
      <c r="Z2" s="3" t="inlineStr">
        <is>
          <t>Day 24</t>
        </is>
      </c>
      <c r="AA2" s="3" t="inlineStr">
        <is>
          <t>Day 25</t>
        </is>
      </c>
      <c r="AB2" s="3" t="inlineStr">
        <is>
          <t>Day 26</t>
        </is>
      </c>
      <c r="AC2" s="3" t="inlineStr">
        <is>
          <t>Day 27</t>
        </is>
      </c>
      <c r="AD2" s="3" t="inlineStr">
        <is>
          <t>Day 28</t>
        </is>
      </c>
      <c r="AE2" s="3" t="inlineStr">
        <is>
          <t>Day 29</t>
        </is>
      </c>
      <c r="AF2" s="3" t="inlineStr">
        <is>
          <t>Day 30</t>
        </is>
      </c>
      <c r="AG2" s="4" t="inlineStr">
        <is>
          <t>Day 31</t>
        </is>
      </c>
    </row>
    <row r="3">
      <c r="A3" s="5" t="inlineStr">
        <is>
          <t>Cargo</t>
        </is>
      </c>
      <c r="B3" s="6" t="inlineStr">
        <is>
          <t>M</t>
        </is>
      </c>
      <c r="C3" s="7" t="n">
        <v>1</v>
      </c>
      <c r="D3" s="7" t="n">
        <v>1</v>
      </c>
      <c r="E3" s="7" t="n">
        <v>1</v>
      </c>
      <c r="F3" s="7" t="n">
        <v>1</v>
      </c>
      <c r="G3" s="7" t="n">
        <v>1</v>
      </c>
      <c r="H3" s="7" t="n">
        <v>1</v>
      </c>
      <c r="I3" s="7" t="n">
        <v>1</v>
      </c>
      <c r="J3" s="7" t="n">
        <v>1</v>
      </c>
      <c r="K3" s="7" t="n">
        <v>1</v>
      </c>
      <c r="L3" s="7" t="n">
        <v>1</v>
      </c>
      <c r="M3" s="7" t="n">
        <v>1</v>
      </c>
      <c r="N3" s="7" t="n">
        <v>1</v>
      </c>
      <c r="O3" s="7" t="n">
        <v>1</v>
      </c>
      <c r="P3" s="7" t="n">
        <v>1</v>
      </c>
      <c r="Q3" s="7" t="n">
        <v>1</v>
      </c>
      <c r="R3" s="7" t="n">
        <v>1</v>
      </c>
      <c r="S3" s="7" t="n">
        <v>1</v>
      </c>
      <c r="T3" s="7" t="n">
        <v>1</v>
      </c>
      <c r="U3" s="7" t="n">
        <v>1</v>
      </c>
      <c r="V3" s="7" t="n">
        <v>1</v>
      </c>
      <c r="W3" s="7" t="n">
        <v>1</v>
      </c>
      <c r="X3" s="7" t="n">
        <v>1</v>
      </c>
      <c r="Y3" s="7" t="n">
        <v>1</v>
      </c>
      <c r="Z3" s="7" t="n">
        <v>1</v>
      </c>
      <c r="AA3" s="7" t="n">
        <v>1</v>
      </c>
      <c r="AB3" s="7" t="n">
        <v>1</v>
      </c>
      <c r="AC3" s="7" t="n">
        <v>1</v>
      </c>
      <c r="AD3" s="7" t="n">
        <v>1</v>
      </c>
      <c r="AE3" s="7" t="n">
        <v>1</v>
      </c>
      <c r="AF3" s="7" t="n">
        <v>1</v>
      </c>
      <c r="AG3" s="8" t="n">
        <v>1</v>
      </c>
    </row>
    <row r="4">
      <c r="A4" s="5" t="inlineStr">
        <is>
          <t>Cargo</t>
        </is>
      </c>
      <c r="B4" s="6" t="inlineStr">
        <is>
          <t>A</t>
        </is>
      </c>
      <c r="C4" s="6" t="n">
        <v>1</v>
      </c>
      <c r="D4" s="6" t="n">
        <v>1</v>
      </c>
      <c r="E4" s="6" t="n">
        <v>1</v>
      </c>
      <c r="F4" s="6" t="n">
        <v>1</v>
      </c>
      <c r="G4" s="6" t="n">
        <v>1</v>
      </c>
      <c r="H4" s="6" t="n">
        <v>1</v>
      </c>
      <c r="I4" s="6" t="n">
        <v>1</v>
      </c>
      <c r="J4" s="6" t="n">
        <v>1</v>
      </c>
      <c r="K4" s="6" t="n">
        <v>1</v>
      </c>
      <c r="L4" s="6" t="n">
        <v>1</v>
      </c>
      <c r="M4" s="6" t="n">
        <v>1</v>
      </c>
      <c r="N4" s="6" t="n">
        <v>1</v>
      </c>
      <c r="O4" s="6" t="n">
        <v>1</v>
      </c>
      <c r="P4" s="6" t="n">
        <v>1</v>
      </c>
      <c r="Q4" s="6" t="n">
        <v>1</v>
      </c>
      <c r="R4" s="6" t="n">
        <v>1</v>
      </c>
      <c r="S4" s="6" t="n">
        <v>1</v>
      </c>
      <c r="T4" s="6" t="n">
        <v>1</v>
      </c>
      <c r="U4" s="6" t="n">
        <v>1</v>
      </c>
      <c r="V4" s="6" t="n">
        <v>1</v>
      </c>
      <c r="W4" s="6" t="n">
        <v>1</v>
      </c>
      <c r="X4" s="6" t="n">
        <v>1</v>
      </c>
      <c r="Y4" s="6" t="n">
        <v>1</v>
      </c>
      <c r="Z4" s="6" t="n">
        <v>1</v>
      </c>
      <c r="AA4" s="6" t="n">
        <v>1</v>
      </c>
      <c r="AB4" s="6" t="n">
        <v>1</v>
      </c>
      <c r="AC4" s="6" t="n">
        <v>1</v>
      </c>
      <c r="AD4" s="6" t="n">
        <v>1</v>
      </c>
      <c r="AE4" s="6" t="n">
        <v>1</v>
      </c>
      <c r="AF4" s="6" t="n">
        <v>1</v>
      </c>
      <c r="AG4" s="9" t="n">
        <v>1</v>
      </c>
    </row>
    <row r="5">
      <c r="A5" s="5" t="inlineStr">
        <is>
          <t>Cargo</t>
        </is>
      </c>
      <c r="B5" s="10" t="inlineStr">
        <is>
          <t>N</t>
        </is>
      </c>
      <c r="C5" s="10" t="n">
        <v>1</v>
      </c>
      <c r="D5" s="10" t="n">
        <v>1</v>
      </c>
      <c r="E5" s="10" t="n">
        <v>1</v>
      </c>
      <c r="F5" s="10" t="n">
        <v>1</v>
      </c>
      <c r="G5" s="10" t="n">
        <v>1</v>
      </c>
      <c r="H5" s="10" t="n">
        <v>1</v>
      </c>
      <c r="I5" s="10" t="n">
        <v>1</v>
      </c>
      <c r="J5" s="10" t="n">
        <v>1</v>
      </c>
      <c r="K5" s="10" t="n">
        <v>1</v>
      </c>
      <c r="L5" s="10" t="n">
        <v>1</v>
      </c>
      <c r="M5" s="10" t="n">
        <v>1</v>
      </c>
      <c r="N5" s="10" t="n">
        <v>1</v>
      </c>
      <c r="O5" s="10" t="n">
        <v>1</v>
      </c>
      <c r="P5" s="10" t="n">
        <v>1</v>
      </c>
      <c r="Q5" s="10" t="n">
        <v>1</v>
      </c>
      <c r="R5" s="10" t="n">
        <v>1</v>
      </c>
      <c r="S5" s="10" t="n">
        <v>1</v>
      </c>
      <c r="T5" s="10" t="n">
        <v>1</v>
      </c>
      <c r="U5" s="10" t="n">
        <v>1</v>
      </c>
      <c r="V5" s="10" t="n">
        <v>1</v>
      </c>
      <c r="W5" s="10" t="n">
        <v>1</v>
      </c>
      <c r="X5" s="10" t="n">
        <v>1</v>
      </c>
      <c r="Y5" s="10" t="n">
        <v>1</v>
      </c>
      <c r="Z5" s="10" t="n">
        <v>1</v>
      </c>
      <c r="AA5" s="10" t="n">
        <v>1</v>
      </c>
      <c r="AB5" s="10" t="n">
        <v>1</v>
      </c>
      <c r="AC5" s="10" t="n">
        <v>1</v>
      </c>
      <c r="AD5" s="10" t="n">
        <v>1</v>
      </c>
      <c r="AE5" s="10" t="n">
        <v>1</v>
      </c>
      <c r="AF5" s="10" t="n">
        <v>1</v>
      </c>
      <c r="AG5" s="11" t="n">
        <v>1</v>
      </c>
    </row>
    <row r="6">
      <c r="A6" s="12" t="inlineStr">
        <is>
          <t>Pax</t>
        </is>
      </c>
      <c r="B6" s="6" t="inlineStr">
        <is>
          <t>M</t>
        </is>
      </c>
      <c r="C6" s="7" t="n">
        <v>1</v>
      </c>
      <c r="D6" s="7" t="n">
        <v>1</v>
      </c>
      <c r="E6" s="7" t="n">
        <v>1</v>
      </c>
      <c r="F6" s="7" t="n">
        <v>1</v>
      </c>
      <c r="G6" s="7" t="n">
        <v>1</v>
      </c>
      <c r="H6" s="7" t="n">
        <v>1</v>
      </c>
      <c r="I6" s="7" t="n">
        <v>1</v>
      </c>
      <c r="J6" s="7" t="n">
        <v>1</v>
      </c>
      <c r="K6" s="7" t="n">
        <v>1</v>
      </c>
      <c r="L6" s="7" t="n">
        <v>1</v>
      </c>
      <c r="M6" s="7" t="n">
        <v>1</v>
      </c>
      <c r="N6" s="7" t="n">
        <v>1</v>
      </c>
      <c r="O6" s="7" t="n">
        <v>1</v>
      </c>
      <c r="P6" s="7" t="n">
        <v>1</v>
      </c>
      <c r="Q6" s="7" t="n">
        <v>1</v>
      </c>
      <c r="R6" s="7" t="n">
        <v>1</v>
      </c>
      <c r="S6" s="7" t="n">
        <v>1</v>
      </c>
      <c r="T6" s="7" t="n">
        <v>1</v>
      </c>
      <c r="U6" s="7" t="n">
        <v>1</v>
      </c>
      <c r="V6" s="7" t="n">
        <v>1</v>
      </c>
      <c r="W6" s="7" t="n">
        <v>1</v>
      </c>
      <c r="X6" s="7" t="n">
        <v>1</v>
      </c>
      <c r="Y6" s="7" t="n">
        <v>1</v>
      </c>
      <c r="Z6" s="7" t="n">
        <v>1</v>
      </c>
      <c r="AA6" s="7" t="n">
        <v>1</v>
      </c>
      <c r="AB6" s="7" t="n">
        <v>1</v>
      </c>
      <c r="AC6" s="7" t="n">
        <v>1</v>
      </c>
      <c r="AD6" s="7" t="n">
        <v>1</v>
      </c>
      <c r="AE6" s="7" t="n">
        <v>1</v>
      </c>
      <c r="AF6" s="7" t="n">
        <v>1</v>
      </c>
      <c r="AG6" s="8" t="n">
        <v>1</v>
      </c>
    </row>
    <row r="7">
      <c r="A7" s="5" t="inlineStr">
        <is>
          <t>Pax</t>
        </is>
      </c>
      <c r="B7" s="6" t="inlineStr">
        <is>
          <t>A</t>
        </is>
      </c>
      <c r="C7" s="6" t="n">
        <v>1</v>
      </c>
      <c r="D7" s="6" t="n">
        <v>1</v>
      </c>
      <c r="E7" s="6" t="n">
        <v>1</v>
      </c>
      <c r="F7" s="6" t="n">
        <v>1</v>
      </c>
      <c r="G7" s="6" t="n">
        <v>1</v>
      </c>
      <c r="H7" s="6" t="n">
        <v>1</v>
      </c>
      <c r="I7" s="6" t="n">
        <v>1</v>
      </c>
      <c r="J7" s="6" t="n">
        <v>1</v>
      </c>
      <c r="K7" s="6" t="n">
        <v>1</v>
      </c>
      <c r="L7" s="6" t="n">
        <v>1</v>
      </c>
      <c r="M7" s="6" t="n">
        <v>1</v>
      </c>
      <c r="N7" s="6" t="n">
        <v>1</v>
      </c>
      <c r="O7" s="6" t="n">
        <v>1</v>
      </c>
      <c r="P7" s="6" t="n">
        <v>1</v>
      </c>
      <c r="Q7" s="6" t="n">
        <v>1</v>
      </c>
      <c r="R7" s="6" t="n">
        <v>1</v>
      </c>
      <c r="S7" s="6" t="n">
        <v>1</v>
      </c>
      <c r="T7" s="6" t="n">
        <v>1</v>
      </c>
      <c r="U7" s="6" t="n">
        <v>1</v>
      </c>
      <c r="V7" s="6" t="n">
        <v>1</v>
      </c>
      <c r="W7" s="6" t="n">
        <v>1</v>
      </c>
      <c r="X7" s="6" t="n">
        <v>1</v>
      </c>
      <c r="Y7" s="6" t="n">
        <v>1</v>
      </c>
      <c r="Z7" s="6" t="n">
        <v>1</v>
      </c>
      <c r="AA7" s="6" t="n">
        <v>1</v>
      </c>
      <c r="AB7" s="6" t="n">
        <v>1</v>
      </c>
      <c r="AC7" s="6" t="n">
        <v>1</v>
      </c>
      <c r="AD7" s="6" t="n">
        <v>1</v>
      </c>
      <c r="AE7" s="6" t="n">
        <v>1</v>
      </c>
      <c r="AF7" s="6" t="n">
        <v>1</v>
      </c>
      <c r="AG7" s="9" t="n">
        <v>1</v>
      </c>
    </row>
    <row r="8">
      <c r="A8" s="13" t="inlineStr">
        <is>
          <t>Pax</t>
        </is>
      </c>
      <c r="B8" s="10" t="inlineStr">
        <is>
          <t>N</t>
        </is>
      </c>
      <c r="C8" s="10" t="n">
        <v>1</v>
      </c>
      <c r="D8" s="10" t="n">
        <v>1</v>
      </c>
      <c r="E8" s="10" t="n">
        <v>1</v>
      </c>
      <c r="F8" s="10" t="n">
        <v>1</v>
      </c>
      <c r="G8" s="10" t="n">
        <v>1</v>
      </c>
      <c r="H8" s="10" t="n">
        <v>1</v>
      </c>
      <c r="I8" s="10" t="n">
        <v>1</v>
      </c>
      <c r="J8" s="10" t="n">
        <v>1</v>
      </c>
      <c r="K8" s="10" t="n">
        <v>1</v>
      </c>
      <c r="L8" s="10" t="n">
        <v>1</v>
      </c>
      <c r="M8" s="10" t="n">
        <v>1</v>
      </c>
      <c r="N8" s="10" t="n">
        <v>1</v>
      </c>
      <c r="O8" s="10" t="n">
        <v>1</v>
      </c>
      <c r="P8" s="10" t="n">
        <v>1</v>
      </c>
      <c r="Q8" s="10" t="n">
        <v>1</v>
      </c>
      <c r="R8" s="10" t="n">
        <v>1</v>
      </c>
      <c r="S8" s="10" t="n">
        <v>1</v>
      </c>
      <c r="T8" s="10" t="n">
        <v>1</v>
      </c>
      <c r="U8" s="10" t="n">
        <v>1</v>
      </c>
      <c r="V8" s="10" t="n">
        <v>1</v>
      </c>
      <c r="W8" s="10" t="n">
        <v>1</v>
      </c>
      <c r="X8" s="10" t="n">
        <v>1</v>
      </c>
      <c r="Y8" s="10" t="n">
        <v>1</v>
      </c>
      <c r="Z8" s="10" t="n">
        <v>1</v>
      </c>
      <c r="AA8" s="10" t="n">
        <v>1</v>
      </c>
      <c r="AB8" s="10" t="n">
        <v>1</v>
      </c>
      <c r="AC8" s="10" t="n">
        <v>1</v>
      </c>
      <c r="AD8" s="10" t="n">
        <v>1</v>
      </c>
      <c r="AE8" s="10" t="n">
        <v>1</v>
      </c>
      <c r="AF8" s="10" t="n">
        <v>1</v>
      </c>
      <c r="AG8" s="11" t="n">
        <v>1</v>
      </c>
    </row>
    <row r="9">
      <c r="A9" s="12" t="inlineStr">
        <is>
          <t>Vehicles</t>
        </is>
      </c>
      <c r="B9" s="6" t="inlineStr">
        <is>
          <t>M</t>
        </is>
      </c>
      <c r="C9" s="7" t="n">
        <v>1</v>
      </c>
      <c r="D9" s="7" t="n">
        <v>1</v>
      </c>
      <c r="E9" s="7" t="n">
        <v>1</v>
      </c>
      <c r="F9" s="7" t="n">
        <v>1</v>
      </c>
      <c r="G9" s="7" t="n">
        <v>1</v>
      </c>
      <c r="H9" s="7" t="n">
        <v>1</v>
      </c>
      <c r="I9" s="7" t="n">
        <v>1</v>
      </c>
      <c r="J9" s="7" t="n">
        <v>1</v>
      </c>
      <c r="K9" s="7" t="n">
        <v>1</v>
      </c>
      <c r="L9" s="7" t="n">
        <v>1</v>
      </c>
      <c r="M9" s="7" t="n">
        <v>1</v>
      </c>
      <c r="N9" s="7" t="n">
        <v>1</v>
      </c>
      <c r="O9" s="7" t="n">
        <v>1</v>
      </c>
      <c r="P9" s="7" t="n">
        <v>1</v>
      </c>
      <c r="Q9" s="7" t="n">
        <v>1</v>
      </c>
      <c r="R9" s="7" t="n">
        <v>1</v>
      </c>
      <c r="S9" s="7" t="n">
        <v>1</v>
      </c>
      <c r="T9" s="7" t="n">
        <v>1</v>
      </c>
      <c r="U9" s="7" t="n">
        <v>1</v>
      </c>
      <c r="V9" s="7" t="n">
        <v>1</v>
      </c>
      <c r="W9" s="7" t="n">
        <v>1</v>
      </c>
      <c r="X9" s="7" t="n">
        <v>1</v>
      </c>
      <c r="Y9" s="7" t="n">
        <v>1</v>
      </c>
      <c r="Z9" s="7" t="n">
        <v>1</v>
      </c>
      <c r="AA9" s="7" t="n">
        <v>1</v>
      </c>
      <c r="AB9" s="7" t="n">
        <v>1</v>
      </c>
      <c r="AC9" s="7" t="n">
        <v>1</v>
      </c>
      <c r="AD9" s="7" t="n">
        <v>1</v>
      </c>
      <c r="AE9" s="7" t="n">
        <v>1</v>
      </c>
      <c r="AF9" s="7" t="n">
        <v>1</v>
      </c>
      <c r="AG9" s="8" t="n">
        <v>1</v>
      </c>
    </row>
    <row r="10">
      <c r="A10" s="14" t="inlineStr">
        <is>
          <t>Vehicles</t>
        </is>
      </c>
      <c r="B10" s="6" t="inlineStr">
        <is>
          <t>A</t>
        </is>
      </c>
      <c r="C10" s="6" t="n">
        <v>1</v>
      </c>
      <c r="D10" s="6" t="n">
        <v>1</v>
      </c>
      <c r="E10" s="6" t="n">
        <v>1</v>
      </c>
      <c r="F10" s="6" t="n">
        <v>1</v>
      </c>
      <c r="G10" s="6" t="n">
        <v>1</v>
      </c>
      <c r="H10" s="6" t="n">
        <v>1</v>
      </c>
      <c r="I10" s="6" t="n">
        <v>1</v>
      </c>
      <c r="J10" s="6" t="n">
        <v>1</v>
      </c>
      <c r="K10" s="6" t="n">
        <v>1</v>
      </c>
      <c r="L10" s="6" t="n">
        <v>1</v>
      </c>
      <c r="M10" s="6" t="n">
        <v>1</v>
      </c>
      <c r="N10" s="6" t="n">
        <v>1</v>
      </c>
      <c r="O10" s="6" t="n">
        <v>1</v>
      </c>
      <c r="P10" s="6" t="n">
        <v>1</v>
      </c>
      <c r="Q10" s="6" t="n">
        <v>1</v>
      </c>
      <c r="R10" s="6" t="n">
        <v>1</v>
      </c>
      <c r="S10" s="6" t="n">
        <v>1</v>
      </c>
      <c r="T10" s="6" t="n">
        <v>1</v>
      </c>
      <c r="U10" s="6" t="n">
        <v>1</v>
      </c>
      <c r="V10" s="6" t="n">
        <v>1</v>
      </c>
      <c r="W10" s="6" t="n">
        <v>1</v>
      </c>
      <c r="X10" s="6" t="n">
        <v>1</v>
      </c>
      <c r="Y10" s="6" t="n">
        <v>1</v>
      </c>
      <c r="Z10" s="6" t="n">
        <v>1</v>
      </c>
      <c r="AA10" s="6" t="n">
        <v>1</v>
      </c>
      <c r="AB10" s="6" t="n">
        <v>1</v>
      </c>
      <c r="AC10" s="6" t="n">
        <v>1</v>
      </c>
      <c r="AD10" s="6" t="n">
        <v>1</v>
      </c>
      <c r="AE10" s="6" t="n">
        <v>1</v>
      </c>
      <c r="AF10" s="6" t="n">
        <v>1</v>
      </c>
      <c r="AG10" s="9" t="n">
        <v>1</v>
      </c>
    </row>
    <row r="11">
      <c r="A11" s="14" t="inlineStr">
        <is>
          <t>Vehicles</t>
        </is>
      </c>
      <c r="B11" s="10" t="inlineStr">
        <is>
          <t>N</t>
        </is>
      </c>
      <c r="C11" s="10" t="n">
        <v>1</v>
      </c>
      <c r="D11" s="10" t="n">
        <v>1</v>
      </c>
      <c r="E11" s="10" t="n">
        <v>1</v>
      </c>
      <c r="F11" s="10" t="n">
        <v>1</v>
      </c>
      <c r="G11" s="10" t="n">
        <v>1</v>
      </c>
      <c r="H11" s="10" t="n">
        <v>1</v>
      </c>
      <c r="I11" s="10" t="n">
        <v>1</v>
      </c>
      <c r="J11" s="10" t="n">
        <v>1</v>
      </c>
      <c r="K11" s="10" t="n">
        <v>1</v>
      </c>
      <c r="L11" s="10" t="n">
        <v>1</v>
      </c>
      <c r="M11" s="10" t="n">
        <v>1</v>
      </c>
      <c r="N11" s="10" t="n">
        <v>1</v>
      </c>
      <c r="O11" s="10" t="n">
        <v>1</v>
      </c>
      <c r="P11" s="10" t="n">
        <v>1</v>
      </c>
      <c r="Q11" s="10" t="n">
        <v>1</v>
      </c>
      <c r="R11" s="10" t="n">
        <v>1</v>
      </c>
      <c r="S11" s="10" t="n">
        <v>1</v>
      </c>
      <c r="T11" s="10" t="n">
        <v>1</v>
      </c>
      <c r="U11" s="10" t="n">
        <v>1</v>
      </c>
      <c r="V11" s="10" t="n">
        <v>1</v>
      </c>
      <c r="W11" s="10" t="n">
        <v>1</v>
      </c>
      <c r="X11" s="10" t="n">
        <v>1</v>
      </c>
      <c r="Y11" s="10" t="n">
        <v>1</v>
      </c>
      <c r="Z11" s="10" t="n">
        <v>1</v>
      </c>
      <c r="AA11" s="10" t="n">
        <v>1</v>
      </c>
      <c r="AB11" s="10" t="n">
        <v>1</v>
      </c>
      <c r="AC11" s="10" t="n">
        <v>1</v>
      </c>
      <c r="AD11" s="10" t="n">
        <v>1</v>
      </c>
      <c r="AE11" s="10" t="n">
        <v>1</v>
      </c>
      <c r="AF11" s="10" t="n">
        <v>1</v>
      </c>
      <c r="AG11" s="11" t="n">
        <v>1</v>
      </c>
    </row>
    <row r="12">
      <c r="A12" s="12" t="inlineStr">
        <is>
          <t>Train</t>
        </is>
      </c>
      <c r="B12" s="7" t="inlineStr">
        <is>
          <t>M</t>
        </is>
      </c>
      <c r="C12" s="7" t="n">
        <v>1</v>
      </c>
      <c r="D12" s="7" t="n">
        <v>1</v>
      </c>
      <c r="E12" s="7" t="n">
        <v>1</v>
      </c>
      <c r="F12" s="7" t="n">
        <v>1</v>
      </c>
      <c r="G12" s="7" t="n">
        <v>1</v>
      </c>
      <c r="H12" s="7" t="n">
        <v>1</v>
      </c>
      <c r="I12" s="7" t="n">
        <v>1</v>
      </c>
      <c r="J12" s="7" t="n">
        <v>1</v>
      </c>
      <c r="K12" s="7" t="n">
        <v>1</v>
      </c>
      <c r="L12" s="7" t="n">
        <v>1</v>
      </c>
      <c r="M12" s="7" t="n">
        <v>1</v>
      </c>
      <c r="N12" s="7" t="n">
        <v>1</v>
      </c>
      <c r="O12" s="7" t="n">
        <v>1</v>
      </c>
      <c r="P12" s="7" t="n">
        <v>1</v>
      </c>
      <c r="Q12" s="7" t="n">
        <v>1</v>
      </c>
      <c r="R12" s="7" t="n">
        <v>1</v>
      </c>
      <c r="S12" s="7" t="n">
        <v>1</v>
      </c>
      <c r="T12" s="7" t="n">
        <v>1</v>
      </c>
      <c r="U12" s="7" t="n">
        <v>1</v>
      </c>
      <c r="V12" s="7" t="n">
        <v>1</v>
      </c>
      <c r="W12" s="7" t="n">
        <v>1</v>
      </c>
      <c r="X12" s="7" t="n">
        <v>1</v>
      </c>
      <c r="Y12" s="7" t="n">
        <v>1</v>
      </c>
      <c r="Z12" s="7" t="n">
        <v>1</v>
      </c>
      <c r="AA12" s="7" t="n">
        <v>1</v>
      </c>
      <c r="AB12" s="7" t="n">
        <v>1</v>
      </c>
      <c r="AC12" s="7" t="n">
        <v>1</v>
      </c>
      <c r="AD12" s="7" t="n">
        <v>1</v>
      </c>
      <c r="AE12" s="7" t="n">
        <v>1</v>
      </c>
      <c r="AF12" s="7" t="n">
        <v>1</v>
      </c>
      <c r="AG12" s="8" t="n">
        <v>1</v>
      </c>
    </row>
    <row r="13">
      <c r="A13" s="15" t="inlineStr">
        <is>
          <t>Train</t>
        </is>
      </c>
      <c r="B13" s="6" t="inlineStr">
        <is>
          <t>A</t>
        </is>
      </c>
      <c r="C13" s="6" t="n">
        <v>1</v>
      </c>
      <c r="D13" s="6" t="n">
        <v>1</v>
      </c>
      <c r="E13" s="6" t="n">
        <v>1</v>
      </c>
      <c r="F13" s="6" t="n">
        <v>1</v>
      </c>
      <c r="G13" s="6" t="n">
        <v>1</v>
      </c>
      <c r="H13" s="6" t="n">
        <v>1</v>
      </c>
      <c r="I13" s="6" t="n">
        <v>1</v>
      </c>
      <c r="J13" s="6" t="n">
        <v>1</v>
      </c>
      <c r="K13" s="6" t="n">
        <v>1</v>
      </c>
      <c r="L13" s="6" t="n">
        <v>1</v>
      </c>
      <c r="M13" s="6" t="n">
        <v>1</v>
      </c>
      <c r="N13" s="6" t="n">
        <v>1</v>
      </c>
      <c r="O13" s="6" t="n">
        <v>1</v>
      </c>
      <c r="P13" s="6" t="n">
        <v>1</v>
      </c>
      <c r="Q13" s="6" t="n">
        <v>1</v>
      </c>
      <c r="R13" s="6" t="n">
        <v>1</v>
      </c>
      <c r="S13" s="6" t="n">
        <v>1</v>
      </c>
      <c r="T13" s="6" t="n">
        <v>1</v>
      </c>
      <c r="U13" s="6" t="n">
        <v>1</v>
      </c>
      <c r="V13" s="6" t="n">
        <v>1</v>
      </c>
      <c r="W13" s="6" t="n">
        <v>1</v>
      </c>
      <c r="X13" s="6" t="n">
        <v>1</v>
      </c>
      <c r="Y13" s="6" t="n">
        <v>1</v>
      </c>
      <c r="Z13" s="6" t="n">
        <v>1</v>
      </c>
      <c r="AA13" s="6" t="n">
        <v>1</v>
      </c>
      <c r="AB13" s="6" t="n">
        <v>1</v>
      </c>
      <c r="AC13" s="6" t="n">
        <v>1</v>
      </c>
      <c r="AD13" s="6" t="n">
        <v>1</v>
      </c>
      <c r="AE13" s="6" t="n">
        <v>1</v>
      </c>
      <c r="AF13" s="6" t="n">
        <v>1</v>
      </c>
      <c r="AG13" s="9" t="n">
        <v>1</v>
      </c>
    </row>
    <row r="14">
      <c r="A14" s="16" t="inlineStr">
        <is>
          <t>Train</t>
        </is>
      </c>
      <c r="B14" s="10" t="inlineStr">
        <is>
          <t>N</t>
        </is>
      </c>
      <c r="C14" s="10" t="n">
        <v>1</v>
      </c>
      <c r="D14" s="10" t="n">
        <v>1</v>
      </c>
      <c r="E14" s="10" t="n">
        <v>1</v>
      </c>
      <c r="F14" s="10" t="n">
        <v>1</v>
      </c>
      <c r="G14" s="10" t="n">
        <v>1</v>
      </c>
      <c r="H14" s="10" t="n">
        <v>1</v>
      </c>
      <c r="I14" s="10" t="n">
        <v>1</v>
      </c>
      <c r="J14" s="10" t="n">
        <v>1</v>
      </c>
      <c r="K14" s="10" t="n">
        <v>1</v>
      </c>
      <c r="L14" s="10" t="n">
        <v>1</v>
      </c>
      <c r="M14" s="10" t="n">
        <v>1</v>
      </c>
      <c r="N14" s="10" t="n">
        <v>1</v>
      </c>
      <c r="O14" s="10" t="n">
        <v>1</v>
      </c>
      <c r="P14" s="10" t="n">
        <v>1</v>
      </c>
      <c r="Q14" s="10" t="n">
        <v>1</v>
      </c>
      <c r="R14" s="10" t="n">
        <v>1</v>
      </c>
      <c r="S14" s="10" t="n">
        <v>1</v>
      </c>
      <c r="T14" s="10" t="n">
        <v>1</v>
      </c>
      <c r="U14" s="10" t="n">
        <v>1</v>
      </c>
      <c r="V14" s="10" t="n">
        <v>1</v>
      </c>
      <c r="W14" s="10" t="n">
        <v>1</v>
      </c>
      <c r="X14" s="10" t="n">
        <v>1</v>
      </c>
      <c r="Y14" s="10" t="n">
        <v>1</v>
      </c>
      <c r="Z14" s="10" t="n">
        <v>1</v>
      </c>
      <c r="AA14" s="10" t="n">
        <v>1</v>
      </c>
      <c r="AB14" s="10" t="n">
        <v>1</v>
      </c>
      <c r="AC14" s="10" t="n">
        <v>1</v>
      </c>
      <c r="AD14" s="10" t="n">
        <v>1</v>
      </c>
      <c r="AE14" s="10" t="n">
        <v>1</v>
      </c>
      <c r="AF14" s="10" t="n">
        <v>1</v>
      </c>
      <c r="AG14" s="11" t="n">
        <v>1</v>
      </c>
    </row>
    <row r="15"/>
    <row r="16">
      <c r="A16" s="17" t="inlineStr">
        <is>
          <t>In this Test Case, a Transportation company named "Happy Logistics" hires you to develop a small program, using your favourite programming language, to generate Rosters with Zone Assignment for their senior staffs. Below rules have to be guaranteed:</t>
        </is>
      </c>
    </row>
    <row r="17">
      <c r="A17" s="17" t="n">
        <v>1</v>
      </c>
      <c r="B17" s="17" t="inlineStr">
        <is>
          <t>You are not allowed to change the staffs' Shift Roster in Schedule Table, an example of Shift Roster is shown from Rows 2 through 21 in Schedule Table in "Q1 Answer" sheet.</t>
        </is>
      </c>
    </row>
    <row r="18">
      <c r="A18" s="17" t="n">
        <v>2</v>
      </c>
      <c r="B18" s="31" t="inlineStr">
        <is>
          <t>Your job is to assign Zone to staffs in Schedule Table. The format is Shift + [Space] + Zone.</t>
        </is>
      </c>
    </row>
    <row r="19">
      <c r="A19" s="17" t="n">
        <v>3</v>
      </c>
      <c r="B19" s="31" t="inlineStr">
        <is>
          <t>The assignments have to fulfill demand in Demand Table. All demands have to get Passed in Zone Assignment Statistics.</t>
        </is>
      </c>
    </row>
    <row r="20">
      <c r="A20" s="17" t="n">
        <v>4</v>
      </c>
      <c r="B20" s="17" t="inlineStr">
        <is>
          <t>There are 4 Zones: Cargo, Pax, Vehicles and Train. Once a staffs is assgined to a Zone, the staff has to work at the Zone for the whole month.</t>
        </is>
      </c>
    </row>
    <row r="21">
      <c r="A21" s="17" t="n">
        <v>5</v>
      </c>
      <c r="B21" s="17" t="inlineStr">
        <is>
          <t>Staffs have to be assigned to Zone by the following Rotation rule: Cargo -&gt; Pax -&gt; Vehicles -&gt; Train. Then restart at Cargo.</t>
        </is>
      </c>
    </row>
    <row r="22">
      <c r="B22" s="17" t="inlineStr">
        <is>
          <t>Example: if a staff would be assigned to Cargo zone in June, the staff would have to go to Pax zone in July, then Vehicles zone in August, then Train in September. After that the staff could be back to Cargo in October.</t>
        </is>
      </c>
    </row>
    <row r="23">
      <c r="A23" s="1" t="inlineStr">
        <is>
          <t>Q1.</t>
        </is>
      </c>
    </row>
    <row r="24">
      <c r="A24" s="31" t="inlineStr">
        <is>
          <t>Use "Q1 Answer" as the template to do your Zone assignment for staffs in Schedule Tab. All cells in Zone Assignment Statistics and Staff Statistics have to Passed.</t>
        </is>
      </c>
    </row>
    <row r="26">
      <c r="A26" s="1" t="inlineStr">
        <is>
          <t>Q2</t>
        </is>
      </c>
    </row>
    <row r="27">
      <c r="A27" s="17" t="inlineStr">
        <is>
          <t>This Question uses sheet "Q2 Answer". Given a previous month Zone assignment as shown in Previous Month Schedule Table. Please assign according Zones for staffs in Schedule Tab.</t>
        </is>
      </c>
    </row>
    <row r="28">
      <c r="A28" s="31" t="inlineStr">
        <is>
          <t>All cells in Zone Assignment Statistics, Staff Statistics and Staff's Zone Rotation Statistics have to Passed.</t>
        </is>
      </c>
    </row>
    <row r="30">
      <c r="A30" s="1" t="inlineStr">
        <is>
          <t>Importance</t>
        </is>
      </c>
    </row>
    <row r="31">
      <c r="A31" s="17" t="inlineStr">
        <is>
          <t>1. Your assignment solutions in "Q1 Answer" and "Q2 Answer" sheets are not allowed to be exactly the same with those of their Passed Examples.</t>
        </is>
      </c>
    </row>
    <row r="32">
      <c r="A32" s="17" t="inlineStr">
        <is>
          <t>2. Please submit your source code together with the Answer sheets</t>
        </is>
      </c>
    </row>
  </sheetData>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AI57"/>
  <sheetViews>
    <sheetView topLeftCell="A37" workbookViewId="0">
      <selection activeCell="I44" sqref="I44"/>
    </sheetView>
  </sheetViews>
  <sheetFormatPr baseColWidth="8" defaultColWidth="12.6640625" defaultRowHeight="15.75" customHeight="1"/>
  <cols>
    <col width="7.109375" customWidth="1" min="1" max="1"/>
    <col width="7.5546875" bestFit="1" customWidth="1" min="2" max="2"/>
    <col width="6.6640625" customWidth="1" min="3" max="35"/>
  </cols>
  <sheetData>
    <row r="1">
      <c r="A1" s="1" t="inlineStr">
        <is>
          <t>Schedule Table</t>
        </is>
      </c>
      <c r="B1" s="18" t="n"/>
      <c r="C1" s="18" t="n"/>
      <c r="D1" s="18" t="n"/>
      <c r="E1" s="18" t="n"/>
      <c r="F1" s="18" t="n"/>
      <c r="G1" s="18" t="n"/>
      <c r="H1" s="18" t="n"/>
      <c r="I1" s="18" t="n"/>
      <c r="J1" s="18" t="n"/>
      <c r="K1" s="18" t="n"/>
      <c r="L1" s="18" t="n"/>
      <c r="M1" s="18" t="n"/>
      <c r="N1" s="18" t="n"/>
      <c r="O1" s="18" t="n"/>
      <c r="P1" s="18" t="n"/>
      <c r="Q1" s="18" t="n"/>
      <c r="R1" s="18" t="n"/>
      <c r="S1" s="18" t="n"/>
      <c r="T1" s="18" t="n"/>
      <c r="U1" s="18" t="n"/>
      <c r="V1" s="18" t="n"/>
      <c r="W1" s="18" t="n"/>
      <c r="X1" s="18" t="n"/>
      <c r="Y1" s="18" t="n"/>
      <c r="Z1" s="18" t="n"/>
      <c r="AA1" s="18" t="n"/>
      <c r="AB1" s="18" t="n"/>
      <c r="AC1" s="18" t="n"/>
      <c r="AD1" s="18" t="n"/>
      <c r="AE1" s="18" t="n"/>
      <c r="AF1" s="18" t="n"/>
      <c r="AG1" s="18" t="n"/>
      <c r="AH1" s="17" t="n"/>
      <c r="AI1" s="17" t="n"/>
    </row>
    <row r="2">
      <c r="B2" s="19" t="n"/>
      <c r="C2" s="20" t="inlineStr">
        <is>
          <t>Day 1</t>
        </is>
      </c>
      <c r="D2" s="20" t="inlineStr">
        <is>
          <t>Day 2</t>
        </is>
      </c>
      <c r="E2" s="20" t="inlineStr">
        <is>
          <t>Day 3</t>
        </is>
      </c>
      <c r="F2" s="20" t="inlineStr">
        <is>
          <t>Day 4</t>
        </is>
      </c>
      <c r="G2" s="20" t="inlineStr">
        <is>
          <t>Day 5</t>
        </is>
      </c>
      <c r="H2" s="20" t="inlineStr">
        <is>
          <t>Day 6</t>
        </is>
      </c>
      <c r="I2" s="20" t="inlineStr">
        <is>
          <t>Day 7</t>
        </is>
      </c>
      <c r="J2" s="20" t="inlineStr">
        <is>
          <t>Day 8</t>
        </is>
      </c>
      <c r="K2" s="20" t="inlineStr">
        <is>
          <t>Day 9</t>
        </is>
      </c>
      <c r="L2" s="20" t="inlineStr">
        <is>
          <t>Day 10</t>
        </is>
      </c>
      <c r="M2" s="20" t="inlineStr">
        <is>
          <t>Day 11</t>
        </is>
      </c>
      <c r="N2" s="20" t="inlineStr">
        <is>
          <t>Day 12</t>
        </is>
      </c>
      <c r="O2" s="20" t="inlineStr">
        <is>
          <t>Day 13</t>
        </is>
      </c>
      <c r="P2" s="20" t="inlineStr">
        <is>
          <t>Day 14</t>
        </is>
      </c>
      <c r="Q2" s="20" t="inlineStr">
        <is>
          <t>Day 15</t>
        </is>
      </c>
      <c r="R2" s="20" t="inlineStr">
        <is>
          <t>Day 16</t>
        </is>
      </c>
      <c r="S2" s="20" t="inlineStr">
        <is>
          <t>Day 17</t>
        </is>
      </c>
      <c r="T2" s="20" t="inlineStr">
        <is>
          <t>Day 18</t>
        </is>
      </c>
      <c r="U2" s="20" t="inlineStr">
        <is>
          <t>Day 19</t>
        </is>
      </c>
      <c r="V2" s="20" t="inlineStr">
        <is>
          <t>Day 20</t>
        </is>
      </c>
      <c r="W2" s="20" t="inlineStr">
        <is>
          <t>Day 21</t>
        </is>
      </c>
      <c r="X2" s="20" t="inlineStr">
        <is>
          <t>Day 22</t>
        </is>
      </c>
      <c r="Y2" s="20" t="inlineStr">
        <is>
          <t>Day 23</t>
        </is>
      </c>
      <c r="Z2" s="20" t="inlineStr">
        <is>
          <t>Day 24</t>
        </is>
      </c>
      <c r="AA2" s="20" t="inlineStr">
        <is>
          <t>Day 25</t>
        </is>
      </c>
      <c r="AB2" s="20" t="inlineStr">
        <is>
          <t>Day 26</t>
        </is>
      </c>
      <c r="AC2" s="20" t="inlineStr">
        <is>
          <t>Day 27</t>
        </is>
      </c>
      <c r="AD2" s="20" t="inlineStr">
        <is>
          <t>Day 28</t>
        </is>
      </c>
      <c r="AE2" s="20" t="inlineStr">
        <is>
          <t>Day 29</t>
        </is>
      </c>
      <c r="AF2" s="20" t="inlineStr">
        <is>
          <t>Day 30</t>
        </is>
      </c>
      <c r="AG2" s="21" t="inlineStr">
        <is>
          <t>Day 31</t>
        </is>
      </c>
      <c r="AH2" s="17" t="n"/>
      <c r="AI2" s="17" t="n"/>
    </row>
    <row r="3">
      <c r="B3" s="22" t="inlineStr">
        <is>
          <t>Staff 1</t>
        </is>
      </c>
      <c r="C3" s="6" t="inlineStr">
        <is>
          <t>O</t>
        </is>
      </c>
      <c r="D3" s="6" t="inlineStr">
        <is>
          <t>M Pax</t>
        </is>
      </c>
      <c r="E3" s="6" t="inlineStr">
        <is>
          <t>M Pax</t>
        </is>
      </c>
      <c r="F3" s="6" t="inlineStr">
        <is>
          <t>N Pax</t>
        </is>
      </c>
      <c r="G3" s="6" t="inlineStr">
        <is>
          <t>N Pax</t>
        </is>
      </c>
      <c r="H3" s="6" t="inlineStr">
        <is>
          <t>O</t>
        </is>
      </c>
      <c r="I3" s="6" t="inlineStr">
        <is>
          <t>A Pax</t>
        </is>
      </c>
      <c r="J3" s="6" t="inlineStr">
        <is>
          <t>A Pax</t>
        </is>
      </c>
      <c r="K3" s="6" t="inlineStr">
        <is>
          <t>O</t>
        </is>
      </c>
      <c r="L3" s="6" t="inlineStr">
        <is>
          <t>M Pax</t>
        </is>
      </c>
      <c r="M3" s="6" t="inlineStr">
        <is>
          <t>M Pax</t>
        </is>
      </c>
      <c r="N3" s="6" t="inlineStr">
        <is>
          <t>N Pax</t>
        </is>
      </c>
      <c r="O3" s="6" t="inlineStr">
        <is>
          <t>N Pax</t>
        </is>
      </c>
      <c r="P3" s="6" t="inlineStr">
        <is>
          <t>O</t>
        </is>
      </c>
      <c r="Q3" s="6" t="inlineStr">
        <is>
          <t>A Pax</t>
        </is>
      </c>
      <c r="R3" s="6" t="inlineStr">
        <is>
          <t>A Pax</t>
        </is>
      </c>
      <c r="S3" s="6" t="inlineStr">
        <is>
          <t>O</t>
        </is>
      </c>
      <c r="T3" s="6" t="inlineStr">
        <is>
          <t>M Pax</t>
        </is>
      </c>
      <c r="U3" s="6" t="inlineStr">
        <is>
          <t>M Pax</t>
        </is>
      </c>
      <c r="V3" s="6" t="inlineStr">
        <is>
          <t>N Pax</t>
        </is>
      </c>
      <c r="W3" s="6" t="inlineStr">
        <is>
          <t>N Pax</t>
        </is>
      </c>
      <c r="X3" s="6" t="inlineStr">
        <is>
          <t>O</t>
        </is>
      </c>
      <c r="Y3" s="6" t="inlineStr">
        <is>
          <t>A Pax</t>
        </is>
      </c>
      <c r="Z3" s="6" t="inlineStr">
        <is>
          <t>A Pax</t>
        </is>
      </c>
      <c r="AA3" s="6" t="inlineStr">
        <is>
          <t>O</t>
        </is>
      </c>
      <c r="AB3" s="6" t="inlineStr">
        <is>
          <t>M Pax</t>
        </is>
      </c>
      <c r="AC3" s="6" t="inlineStr">
        <is>
          <t>M Pax</t>
        </is>
      </c>
      <c r="AD3" s="6" t="inlineStr">
        <is>
          <t>N Pax</t>
        </is>
      </c>
      <c r="AE3" s="6" t="inlineStr">
        <is>
          <t>N Pax</t>
        </is>
      </c>
      <c r="AF3" s="6" t="inlineStr">
        <is>
          <t>O</t>
        </is>
      </c>
      <c r="AG3" s="9" t="inlineStr">
        <is>
          <t>A Pax</t>
        </is>
      </c>
    </row>
    <row r="4">
      <c r="B4" s="22" t="inlineStr">
        <is>
          <t>Staff 2</t>
        </is>
      </c>
      <c r="C4" s="6" t="inlineStr">
        <is>
          <t>O</t>
        </is>
      </c>
      <c r="D4" s="6" t="inlineStr">
        <is>
          <t>M Vehicles</t>
        </is>
      </c>
      <c r="E4" s="6" t="inlineStr">
        <is>
          <t>M Vehicles</t>
        </is>
      </c>
      <c r="F4" s="6" t="inlineStr">
        <is>
          <t>N Vehicles</t>
        </is>
      </c>
      <c r="G4" s="6" t="inlineStr">
        <is>
          <t>N Vehicles</t>
        </is>
      </c>
      <c r="H4" s="6" t="inlineStr">
        <is>
          <t>O</t>
        </is>
      </c>
      <c r="I4" s="6" t="inlineStr">
        <is>
          <t>A Vehicles</t>
        </is>
      </c>
      <c r="J4" s="6" t="inlineStr">
        <is>
          <t>A Vehicles</t>
        </is>
      </c>
      <c r="K4" s="6" t="inlineStr">
        <is>
          <t>O</t>
        </is>
      </c>
      <c r="L4" s="6" t="inlineStr">
        <is>
          <t>M Vehicles</t>
        </is>
      </c>
      <c r="M4" s="6" t="inlineStr">
        <is>
          <t>M Vehicles</t>
        </is>
      </c>
      <c r="N4" s="6" t="inlineStr">
        <is>
          <t>N Vehicles</t>
        </is>
      </c>
      <c r="O4" s="6" t="inlineStr">
        <is>
          <t>N Vehicles</t>
        </is>
      </c>
      <c r="P4" s="6" t="inlineStr">
        <is>
          <t>O</t>
        </is>
      </c>
      <c r="Q4" s="6" t="inlineStr">
        <is>
          <t>A Vehicles</t>
        </is>
      </c>
      <c r="R4" s="6" t="inlineStr">
        <is>
          <t>A Vehicles</t>
        </is>
      </c>
      <c r="S4" s="6" t="inlineStr">
        <is>
          <t>O</t>
        </is>
      </c>
      <c r="T4" s="6" t="inlineStr">
        <is>
          <t>M Vehicles</t>
        </is>
      </c>
      <c r="U4" s="6" t="inlineStr">
        <is>
          <t>M Vehicles</t>
        </is>
      </c>
      <c r="V4" s="6" t="inlineStr">
        <is>
          <t>N Vehicles</t>
        </is>
      </c>
      <c r="W4" s="6" t="inlineStr">
        <is>
          <t>N Vehicles</t>
        </is>
      </c>
      <c r="X4" s="6" t="inlineStr">
        <is>
          <t>O</t>
        </is>
      </c>
      <c r="Y4" s="6" t="inlineStr">
        <is>
          <t>A Vehicles</t>
        </is>
      </c>
      <c r="Z4" s="6" t="inlineStr">
        <is>
          <t>A Vehicles</t>
        </is>
      </c>
      <c r="AA4" s="6" t="inlineStr">
        <is>
          <t>O</t>
        </is>
      </c>
      <c r="AB4" s="6" t="inlineStr">
        <is>
          <t>M Vehicles</t>
        </is>
      </c>
      <c r="AC4" s="6" t="inlineStr">
        <is>
          <t>M Vehicles</t>
        </is>
      </c>
      <c r="AD4" s="6" t="inlineStr">
        <is>
          <t>N Vehicles</t>
        </is>
      </c>
      <c r="AE4" s="6" t="inlineStr">
        <is>
          <t>N Vehicles</t>
        </is>
      </c>
      <c r="AF4" s="6" t="inlineStr">
        <is>
          <t>O</t>
        </is>
      </c>
      <c r="AG4" s="9" t="inlineStr">
        <is>
          <t>A Vehicles</t>
        </is>
      </c>
    </row>
    <row r="5">
      <c r="B5" s="22" t="inlineStr">
        <is>
          <t>Staff 3</t>
        </is>
      </c>
      <c r="C5" s="6" t="inlineStr">
        <is>
          <t>O</t>
        </is>
      </c>
      <c r="D5" s="6" t="inlineStr">
        <is>
          <t>M Cargo</t>
        </is>
      </c>
      <c r="E5" s="6" t="inlineStr">
        <is>
          <t>M Cargo</t>
        </is>
      </c>
      <c r="F5" s="6" t="inlineStr">
        <is>
          <t>N Cargo</t>
        </is>
      </c>
      <c r="G5" s="6" t="inlineStr">
        <is>
          <t>N Cargo</t>
        </is>
      </c>
      <c r="H5" s="6" t="inlineStr">
        <is>
          <t>O</t>
        </is>
      </c>
      <c r="I5" s="6" t="inlineStr">
        <is>
          <t>A Cargo</t>
        </is>
      </c>
      <c r="J5" s="6" t="inlineStr">
        <is>
          <t>A Cargo</t>
        </is>
      </c>
      <c r="K5" s="6" t="inlineStr">
        <is>
          <t>O</t>
        </is>
      </c>
      <c r="L5" s="6" t="inlineStr">
        <is>
          <t>M Cargo</t>
        </is>
      </c>
      <c r="M5" s="6" t="inlineStr">
        <is>
          <t>M Cargo</t>
        </is>
      </c>
      <c r="N5" s="6" t="inlineStr">
        <is>
          <t>N Cargo</t>
        </is>
      </c>
      <c r="O5" s="6" t="inlineStr">
        <is>
          <t>N Cargo</t>
        </is>
      </c>
      <c r="P5" s="6" t="inlineStr">
        <is>
          <t>O</t>
        </is>
      </c>
      <c r="Q5" s="6" t="inlineStr">
        <is>
          <t>A Cargo</t>
        </is>
      </c>
      <c r="R5" s="6" t="inlineStr">
        <is>
          <t>A Cargo</t>
        </is>
      </c>
      <c r="S5" s="6" t="inlineStr">
        <is>
          <t>O</t>
        </is>
      </c>
      <c r="T5" s="6" t="inlineStr">
        <is>
          <t>M Cargo</t>
        </is>
      </c>
      <c r="U5" s="6" t="inlineStr">
        <is>
          <t>M Cargo</t>
        </is>
      </c>
      <c r="V5" s="6" t="inlineStr">
        <is>
          <t>N Cargo</t>
        </is>
      </c>
      <c r="W5" s="6" t="inlineStr">
        <is>
          <t>N Cargo</t>
        </is>
      </c>
      <c r="X5" s="6" t="inlineStr">
        <is>
          <t>O</t>
        </is>
      </c>
      <c r="Y5" s="6" t="inlineStr">
        <is>
          <t>A Cargo</t>
        </is>
      </c>
      <c r="Z5" s="6" t="inlineStr">
        <is>
          <t>A Cargo</t>
        </is>
      </c>
      <c r="AA5" s="6" t="inlineStr">
        <is>
          <t>O</t>
        </is>
      </c>
      <c r="AB5" s="6" t="inlineStr">
        <is>
          <t>M Cargo</t>
        </is>
      </c>
      <c r="AC5" s="6" t="inlineStr">
        <is>
          <t>M Cargo</t>
        </is>
      </c>
      <c r="AD5" s="6" t="inlineStr">
        <is>
          <t>N Cargo</t>
        </is>
      </c>
      <c r="AE5" s="6" t="inlineStr">
        <is>
          <t>N Cargo</t>
        </is>
      </c>
      <c r="AF5" s="6" t="inlineStr">
        <is>
          <t>O</t>
        </is>
      </c>
      <c r="AG5" s="9" t="inlineStr">
        <is>
          <t>A Cargo</t>
        </is>
      </c>
    </row>
    <row r="6">
      <c r="B6" s="22" t="inlineStr">
        <is>
          <t>Staff 4</t>
        </is>
      </c>
      <c r="C6" s="6" t="inlineStr">
        <is>
          <t>O</t>
        </is>
      </c>
      <c r="D6" s="6" t="inlineStr">
        <is>
          <t>M Train</t>
        </is>
      </c>
      <c r="E6" s="6" t="inlineStr">
        <is>
          <t>M Train</t>
        </is>
      </c>
      <c r="F6" s="6" t="inlineStr">
        <is>
          <t>N Train</t>
        </is>
      </c>
      <c r="G6" s="6" t="inlineStr">
        <is>
          <t>N Train</t>
        </is>
      </c>
      <c r="H6" s="6" t="inlineStr">
        <is>
          <t>O</t>
        </is>
      </c>
      <c r="I6" s="6" t="inlineStr">
        <is>
          <t>A Train</t>
        </is>
      </c>
      <c r="J6" s="6" t="inlineStr">
        <is>
          <t>A Train</t>
        </is>
      </c>
      <c r="K6" s="6" t="inlineStr">
        <is>
          <t>O</t>
        </is>
      </c>
      <c r="L6" s="6" t="inlineStr">
        <is>
          <t>M Train</t>
        </is>
      </c>
      <c r="M6" s="6" t="inlineStr">
        <is>
          <t>M Train</t>
        </is>
      </c>
      <c r="N6" s="6" t="inlineStr">
        <is>
          <t>N Train</t>
        </is>
      </c>
      <c r="O6" s="6" t="inlineStr">
        <is>
          <t>N Train</t>
        </is>
      </c>
      <c r="P6" s="6" t="inlineStr">
        <is>
          <t>O</t>
        </is>
      </c>
      <c r="Q6" s="6" t="inlineStr">
        <is>
          <t>A Train</t>
        </is>
      </c>
      <c r="R6" s="6" t="inlineStr">
        <is>
          <t>A Train</t>
        </is>
      </c>
      <c r="S6" s="6" t="inlineStr">
        <is>
          <t>O</t>
        </is>
      </c>
      <c r="T6" s="6" t="inlineStr">
        <is>
          <t>M Train</t>
        </is>
      </c>
      <c r="U6" s="6" t="inlineStr">
        <is>
          <t>M Train</t>
        </is>
      </c>
      <c r="V6" s="6" t="inlineStr">
        <is>
          <t>N Train</t>
        </is>
      </c>
      <c r="W6" s="6" t="inlineStr">
        <is>
          <t>N Train</t>
        </is>
      </c>
      <c r="X6" s="6" t="inlineStr">
        <is>
          <t>O</t>
        </is>
      </c>
      <c r="Y6" s="6" t="inlineStr">
        <is>
          <t>A Train</t>
        </is>
      </c>
      <c r="Z6" s="6" t="inlineStr">
        <is>
          <t>A Train</t>
        </is>
      </c>
      <c r="AA6" s="6" t="inlineStr">
        <is>
          <t>O</t>
        </is>
      </c>
      <c r="AB6" s="6" t="inlineStr">
        <is>
          <t>M Train</t>
        </is>
      </c>
      <c r="AC6" s="6" t="inlineStr">
        <is>
          <t>M Train</t>
        </is>
      </c>
      <c r="AD6" s="6" t="inlineStr">
        <is>
          <t>N Train</t>
        </is>
      </c>
      <c r="AE6" s="6" t="inlineStr">
        <is>
          <t>N Train</t>
        </is>
      </c>
      <c r="AF6" s="6" t="inlineStr">
        <is>
          <t>O</t>
        </is>
      </c>
      <c r="AG6" s="9" t="inlineStr">
        <is>
          <t>A Train</t>
        </is>
      </c>
    </row>
    <row r="7">
      <c r="B7" s="22" t="inlineStr">
        <is>
          <t>Staff 5</t>
        </is>
      </c>
      <c r="C7" s="6" t="inlineStr">
        <is>
          <t>O</t>
        </is>
      </c>
      <c r="D7" s="6" t="inlineStr">
        <is>
          <t>M Train</t>
        </is>
      </c>
      <c r="E7" s="6" t="inlineStr">
        <is>
          <t>M Train</t>
        </is>
      </c>
      <c r="F7" s="6" t="inlineStr">
        <is>
          <t>N Train</t>
        </is>
      </c>
      <c r="G7" s="6" t="inlineStr">
        <is>
          <t>N Train</t>
        </is>
      </c>
      <c r="H7" s="6" t="inlineStr">
        <is>
          <t>O</t>
        </is>
      </c>
      <c r="I7" s="6" t="inlineStr">
        <is>
          <t>A Train</t>
        </is>
      </c>
      <c r="J7" s="6" t="inlineStr">
        <is>
          <t>A Train</t>
        </is>
      </c>
      <c r="K7" s="6" t="inlineStr">
        <is>
          <t>O</t>
        </is>
      </c>
      <c r="L7" s="6" t="inlineStr">
        <is>
          <t>M Train</t>
        </is>
      </c>
      <c r="M7" s="6" t="inlineStr">
        <is>
          <t>M Train</t>
        </is>
      </c>
      <c r="N7" s="6" t="inlineStr">
        <is>
          <t>N Train</t>
        </is>
      </c>
      <c r="O7" s="6" t="inlineStr">
        <is>
          <t>N Train</t>
        </is>
      </c>
      <c r="P7" s="6" t="inlineStr">
        <is>
          <t>O</t>
        </is>
      </c>
      <c r="Q7" s="6" t="inlineStr">
        <is>
          <t>A Train</t>
        </is>
      </c>
      <c r="R7" s="6" t="inlineStr">
        <is>
          <t>A Train</t>
        </is>
      </c>
      <c r="S7" s="6" t="inlineStr">
        <is>
          <t>O</t>
        </is>
      </c>
      <c r="T7" s="6" t="inlineStr">
        <is>
          <t>M Train</t>
        </is>
      </c>
      <c r="U7" s="6" t="inlineStr">
        <is>
          <t>M Train</t>
        </is>
      </c>
      <c r="V7" s="6" t="inlineStr">
        <is>
          <t>N Train</t>
        </is>
      </c>
      <c r="W7" s="6" t="inlineStr">
        <is>
          <t>N Train</t>
        </is>
      </c>
      <c r="X7" s="6" t="inlineStr">
        <is>
          <t>O</t>
        </is>
      </c>
      <c r="Y7" s="6" t="inlineStr">
        <is>
          <t>A Train</t>
        </is>
      </c>
      <c r="Z7" s="6" t="inlineStr">
        <is>
          <t>A Train</t>
        </is>
      </c>
      <c r="AA7" s="6" t="inlineStr">
        <is>
          <t>O</t>
        </is>
      </c>
      <c r="AB7" s="6" t="inlineStr">
        <is>
          <t>M Train</t>
        </is>
      </c>
      <c r="AC7" s="6" t="inlineStr">
        <is>
          <t>M Train</t>
        </is>
      </c>
      <c r="AD7" s="6" t="inlineStr">
        <is>
          <t>N Train</t>
        </is>
      </c>
      <c r="AE7" s="6" t="inlineStr">
        <is>
          <t>N Train</t>
        </is>
      </c>
      <c r="AF7" s="6" t="inlineStr">
        <is>
          <t>O</t>
        </is>
      </c>
      <c r="AG7" s="9" t="inlineStr">
        <is>
          <t>A Train</t>
        </is>
      </c>
    </row>
    <row r="8">
      <c r="B8" s="22" t="inlineStr">
        <is>
          <t>Staff 6</t>
        </is>
      </c>
      <c r="C8" s="6" t="inlineStr">
        <is>
          <t>A Train</t>
        </is>
      </c>
      <c r="D8" s="6" t="inlineStr">
        <is>
          <t>A Train</t>
        </is>
      </c>
      <c r="E8" s="6" t="inlineStr">
        <is>
          <t>O</t>
        </is>
      </c>
      <c r="F8" s="6" t="inlineStr">
        <is>
          <t>M Train</t>
        </is>
      </c>
      <c r="G8" s="6" t="inlineStr">
        <is>
          <t>M Train</t>
        </is>
      </c>
      <c r="H8" s="6" t="inlineStr">
        <is>
          <t>N Train</t>
        </is>
      </c>
      <c r="I8" s="6" t="inlineStr">
        <is>
          <t>N Train</t>
        </is>
      </c>
      <c r="J8" s="6" t="inlineStr">
        <is>
          <t>O</t>
        </is>
      </c>
      <c r="K8" s="6" t="inlineStr">
        <is>
          <t>A Train</t>
        </is>
      </c>
      <c r="L8" s="6" t="inlineStr">
        <is>
          <t>A Train</t>
        </is>
      </c>
      <c r="M8" s="6" t="inlineStr">
        <is>
          <t>O</t>
        </is>
      </c>
      <c r="N8" s="6" t="inlineStr">
        <is>
          <t>M Train</t>
        </is>
      </c>
      <c r="O8" s="6" t="inlineStr">
        <is>
          <t>M Train</t>
        </is>
      </c>
      <c r="P8" s="6" t="inlineStr">
        <is>
          <t>N Train</t>
        </is>
      </c>
      <c r="Q8" s="6" t="inlineStr">
        <is>
          <t>N Train</t>
        </is>
      </c>
      <c r="R8" s="6" t="inlineStr">
        <is>
          <t>O</t>
        </is>
      </c>
      <c r="S8" s="6" t="inlineStr">
        <is>
          <t>A Train</t>
        </is>
      </c>
      <c r="T8" s="6" t="inlineStr">
        <is>
          <t>A Train</t>
        </is>
      </c>
      <c r="U8" s="6" t="inlineStr">
        <is>
          <t>O</t>
        </is>
      </c>
      <c r="V8" s="6" t="inlineStr">
        <is>
          <t>M Train</t>
        </is>
      </c>
      <c r="W8" s="6" t="inlineStr">
        <is>
          <t>M Train</t>
        </is>
      </c>
      <c r="X8" s="6" t="inlineStr">
        <is>
          <t>N Train</t>
        </is>
      </c>
      <c r="Y8" s="6" t="inlineStr">
        <is>
          <t>N Train</t>
        </is>
      </c>
      <c r="Z8" s="6" t="inlineStr">
        <is>
          <t>O</t>
        </is>
      </c>
      <c r="AA8" s="6" t="inlineStr">
        <is>
          <t>A Train</t>
        </is>
      </c>
      <c r="AB8" s="6" t="inlineStr">
        <is>
          <t>A Train</t>
        </is>
      </c>
      <c r="AC8" s="6" t="inlineStr">
        <is>
          <t>O</t>
        </is>
      </c>
      <c r="AD8" s="6" t="inlineStr">
        <is>
          <t>M Train</t>
        </is>
      </c>
      <c r="AE8" s="6" t="inlineStr">
        <is>
          <t>M Train</t>
        </is>
      </c>
      <c r="AF8" s="6" t="inlineStr">
        <is>
          <t>N Train</t>
        </is>
      </c>
      <c r="AG8" s="9" t="inlineStr">
        <is>
          <t>N Train</t>
        </is>
      </c>
    </row>
    <row r="9">
      <c r="B9" s="22" t="inlineStr">
        <is>
          <t>Staff 7</t>
        </is>
      </c>
      <c r="C9" s="6" t="inlineStr">
        <is>
          <t>A Vehicles</t>
        </is>
      </c>
      <c r="D9" s="6" t="inlineStr">
        <is>
          <t>A Vehicles</t>
        </is>
      </c>
      <c r="E9" s="6" t="inlineStr">
        <is>
          <t>O</t>
        </is>
      </c>
      <c r="F9" s="6" t="inlineStr">
        <is>
          <t>M Vehicles</t>
        </is>
      </c>
      <c r="G9" s="6" t="inlineStr">
        <is>
          <t>M Vehicles</t>
        </is>
      </c>
      <c r="H9" s="6" t="inlineStr">
        <is>
          <t>N Vehicles</t>
        </is>
      </c>
      <c r="I9" s="6" t="inlineStr">
        <is>
          <t>N Vehicles</t>
        </is>
      </c>
      <c r="J9" s="6" t="inlineStr">
        <is>
          <t>O</t>
        </is>
      </c>
      <c r="K9" s="6" t="inlineStr">
        <is>
          <t>A Vehicles</t>
        </is>
      </c>
      <c r="L9" s="6" t="inlineStr">
        <is>
          <t>A Vehicles</t>
        </is>
      </c>
      <c r="M9" s="6" t="inlineStr">
        <is>
          <t>O</t>
        </is>
      </c>
      <c r="N9" s="6" t="inlineStr">
        <is>
          <t>M Vehicles</t>
        </is>
      </c>
      <c r="O9" s="6" t="inlineStr">
        <is>
          <t>M Vehicles</t>
        </is>
      </c>
      <c r="P9" s="6" t="inlineStr">
        <is>
          <t>N Vehicles</t>
        </is>
      </c>
      <c r="Q9" s="6" t="inlineStr">
        <is>
          <t>N Vehicles</t>
        </is>
      </c>
      <c r="R9" s="6" t="inlineStr">
        <is>
          <t>O</t>
        </is>
      </c>
      <c r="S9" s="6" t="inlineStr">
        <is>
          <t>A Vehicles</t>
        </is>
      </c>
      <c r="T9" s="6" t="inlineStr">
        <is>
          <t>A Vehicles</t>
        </is>
      </c>
      <c r="U9" s="6" t="inlineStr">
        <is>
          <t>O</t>
        </is>
      </c>
      <c r="V9" s="6" t="inlineStr">
        <is>
          <t>M Vehicles</t>
        </is>
      </c>
      <c r="W9" s="6" t="inlineStr">
        <is>
          <t>M Vehicles</t>
        </is>
      </c>
      <c r="X9" s="6" t="inlineStr">
        <is>
          <t>N Vehicles</t>
        </is>
      </c>
      <c r="Y9" s="6" t="inlineStr">
        <is>
          <t>N Vehicles</t>
        </is>
      </c>
      <c r="Z9" s="6" t="inlineStr">
        <is>
          <t>O</t>
        </is>
      </c>
      <c r="AA9" s="6" t="inlineStr">
        <is>
          <t>A Vehicles</t>
        </is>
      </c>
      <c r="AB9" s="6" t="inlineStr">
        <is>
          <t>A Vehicles</t>
        </is>
      </c>
      <c r="AC9" s="6" t="inlineStr">
        <is>
          <t>O</t>
        </is>
      </c>
      <c r="AD9" s="6" t="inlineStr">
        <is>
          <t>M Vehicles</t>
        </is>
      </c>
      <c r="AE9" s="6" t="inlineStr">
        <is>
          <t>M Vehicles</t>
        </is>
      </c>
      <c r="AF9" s="6" t="inlineStr">
        <is>
          <t>N Vehicles</t>
        </is>
      </c>
      <c r="AG9" s="9" t="inlineStr">
        <is>
          <t>N Vehicles</t>
        </is>
      </c>
    </row>
    <row r="10">
      <c r="B10" s="22" t="inlineStr">
        <is>
          <t>Staff 8</t>
        </is>
      </c>
      <c r="C10" s="6" t="inlineStr">
        <is>
          <t>A Cargo</t>
        </is>
      </c>
      <c r="D10" s="6" t="inlineStr">
        <is>
          <t>A Cargo</t>
        </is>
      </c>
      <c r="E10" s="6" t="inlineStr">
        <is>
          <t>O</t>
        </is>
      </c>
      <c r="F10" s="6" t="inlineStr">
        <is>
          <t>M Cargo</t>
        </is>
      </c>
      <c r="G10" s="6" t="inlineStr">
        <is>
          <t>M Cargo</t>
        </is>
      </c>
      <c r="H10" s="6" t="inlineStr">
        <is>
          <t>N Cargo</t>
        </is>
      </c>
      <c r="I10" s="6" t="inlineStr">
        <is>
          <t>N Cargo</t>
        </is>
      </c>
      <c r="J10" s="6" t="inlineStr">
        <is>
          <t>O</t>
        </is>
      </c>
      <c r="K10" s="6" t="inlineStr">
        <is>
          <t>A Cargo</t>
        </is>
      </c>
      <c r="L10" s="6" t="inlineStr">
        <is>
          <t>A Cargo</t>
        </is>
      </c>
      <c r="M10" s="6" t="inlineStr">
        <is>
          <t>O</t>
        </is>
      </c>
      <c r="N10" s="6" t="inlineStr">
        <is>
          <t>M Cargo</t>
        </is>
      </c>
      <c r="O10" s="6" t="inlineStr">
        <is>
          <t>M Cargo</t>
        </is>
      </c>
      <c r="P10" s="6" t="inlineStr">
        <is>
          <t>N Cargo</t>
        </is>
      </c>
      <c r="Q10" s="6" t="inlineStr">
        <is>
          <t>N Cargo</t>
        </is>
      </c>
      <c r="R10" s="6" t="inlineStr">
        <is>
          <t>O</t>
        </is>
      </c>
      <c r="S10" s="6" t="inlineStr">
        <is>
          <t>A Cargo</t>
        </is>
      </c>
      <c r="T10" s="6" t="inlineStr">
        <is>
          <t>A Cargo</t>
        </is>
      </c>
      <c r="U10" s="6" t="inlineStr">
        <is>
          <t>O</t>
        </is>
      </c>
      <c r="V10" s="6" t="inlineStr">
        <is>
          <t>M Cargo</t>
        </is>
      </c>
      <c r="W10" s="6" t="inlineStr">
        <is>
          <t>M Cargo</t>
        </is>
      </c>
      <c r="X10" s="6" t="inlineStr">
        <is>
          <t>N Cargo</t>
        </is>
      </c>
      <c r="Y10" s="6" t="inlineStr">
        <is>
          <t>N Cargo</t>
        </is>
      </c>
      <c r="Z10" s="6" t="inlineStr">
        <is>
          <t>O</t>
        </is>
      </c>
      <c r="AA10" s="6" t="inlineStr">
        <is>
          <t>A Cargo</t>
        </is>
      </c>
      <c r="AB10" s="6" t="inlineStr">
        <is>
          <t>A Cargo</t>
        </is>
      </c>
      <c r="AC10" s="6" t="inlineStr">
        <is>
          <t>O</t>
        </is>
      </c>
      <c r="AD10" s="6" t="inlineStr">
        <is>
          <t>M Cargo</t>
        </is>
      </c>
      <c r="AE10" s="6" t="inlineStr">
        <is>
          <t>M Cargo</t>
        </is>
      </c>
      <c r="AF10" s="6" t="inlineStr">
        <is>
          <t>N Cargo</t>
        </is>
      </c>
      <c r="AG10" s="9" t="inlineStr">
        <is>
          <t>N Cargo</t>
        </is>
      </c>
    </row>
    <row r="11">
      <c r="B11" s="22" t="inlineStr">
        <is>
          <t>Staff 9</t>
        </is>
      </c>
      <c r="C11" s="6" t="inlineStr">
        <is>
          <t>A Pax</t>
        </is>
      </c>
      <c r="D11" s="6" t="inlineStr">
        <is>
          <t>A Pax</t>
        </is>
      </c>
      <c r="E11" s="6" t="inlineStr">
        <is>
          <t>O</t>
        </is>
      </c>
      <c r="F11" s="6" t="inlineStr">
        <is>
          <t>M Pax</t>
        </is>
      </c>
      <c r="G11" s="6" t="inlineStr">
        <is>
          <t>M Pax</t>
        </is>
      </c>
      <c r="H11" s="6" t="inlineStr">
        <is>
          <t>N Pax</t>
        </is>
      </c>
      <c r="I11" s="6" t="inlineStr">
        <is>
          <t>N Pax</t>
        </is>
      </c>
      <c r="J11" s="6" t="inlineStr">
        <is>
          <t>O</t>
        </is>
      </c>
      <c r="K11" s="6" t="inlineStr">
        <is>
          <t>A Pax</t>
        </is>
      </c>
      <c r="L11" s="6" t="inlineStr">
        <is>
          <t>A Pax</t>
        </is>
      </c>
      <c r="M11" s="6" t="inlineStr">
        <is>
          <t>O</t>
        </is>
      </c>
      <c r="N11" s="6" t="inlineStr">
        <is>
          <t>M Pax</t>
        </is>
      </c>
      <c r="O11" s="6" t="inlineStr">
        <is>
          <t>M Pax</t>
        </is>
      </c>
      <c r="P11" s="6" t="inlineStr">
        <is>
          <t>N Pax</t>
        </is>
      </c>
      <c r="Q11" s="6" t="inlineStr">
        <is>
          <t>N Pax</t>
        </is>
      </c>
      <c r="R11" s="6" t="inlineStr">
        <is>
          <t>O</t>
        </is>
      </c>
      <c r="S11" s="6" t="inlineStr">
        <is>
          <t>A Pax</t>
        </is>
      </c>
      <c r="T11" s="6" t="inlineStr">
        <is>
          <t>A Pax</t>
        </is>
      </c>
      <c r="U11" s="6" t="inlineStr">
        <is>
          <t>O</t>
        </is>
      </c>
      <c r="V11" s="6" t="inlineStr">
        <is>
          <t>M Pax</t>
        </is>
      </c>
      <c r="W11" s="6" t="inlineStr">
        <is>
          <t>M Pax</t>
        </is>
      </c>
      <c r="X11" s="6" t="inlineStr">
        <is>
          <t>N Pax</t>
        </is>
      </c>
      <c r="Y11" s="6" t="inlineStr">
        <is>
          <t>N Pax</t>
        </is>
      </c>
      <c r="Z11" s="6" t="inlineStr">
        <is>
          <t>O</t>
        </is>
      </c>
      <c r="AA11" s="6" t="inlineStr">
        <is>
          <t>A Pax</t>
        </is>
      </c>
      <c r="AB11" s="6" t="inlineStr">
        <is>
          <t>A Pax</t>
        </is>
      </c>
      <c r="AC11" s="6" t="inlineStr">
        <is>
          <t>O</t>
        </is>
      </c>
      <c r="AD11" s="6" t="inlineStr">
        <is>
          <t>M Pax</t>
        </is>
      </c>
      <c r="AE11" s="6" t="inlineStr">
        <is>
          <t>M Pax</t>
        </is>
      </c>
      <c r="AF11" s="6" t="inlineStr">
        <is>
          <t>N Pax</t>
        </is>
      </c>
      <c r="AG11" s="9" t="inlineStr">
        <is>
          <t>N Pax</t>
        </is>
      </c>
    </row>
    <row r="12">
      <c r="B12" s="22" t="inlineStr">
        <is>
          <t>Staff 10</t>
        </is>
      </c>
      <c r="C12" s="6" t="inlineStr">
        <is>
          <t>N Cargo</t>
        </is>
      </c>
      <c r="D12" s="6" t="inlineStr">
        <is>
          <t>O</t>
        </is>
      </c>
      <c r="E12" s="6" t="inlineStr">
        <is>
          <t>A Cargo</t>
        </is>
      </c>
      <c r="F12" s="6" t="inlineStr">
        <is>
          <t>A Cargo</t>
        </is>
      </c>
      <c r="G12" s="6" t="inlineStr">
        <is>
          <t>O</t>
        </is>
      </c>
      <c r="H12" s="6" t="inlineStr">
        <is>
          <t>M Cargo</t>
        </is>
      </c>
      <c r="I12" s="6" t="inlineStr">
        <is>
          <t>M Cargo</t>
        </is>
      </c>
      <c r="J12" s="6" t="inlineStr">
        <is>
          <t>N Cargo</t>
        </is>
      </c>
      <c r="K12" s="6" t="inlineStr">
        <is>
          <t>N Cargo</t>
        </is>
      </c>
      <c r="L12" s="6" t="inlineStr">
        <is>
          <t>O</t>
        </is>
      </c>
      <c r="M12" s="6" t="inlineStr">
        <is>
          <t>A Cargo</t>
        </is>
      </c>
      <c r="N12" s="6" t="inlineStr">
        <is>
          <t>A Cargo</t>
        </is>
      </c>
      <c r="O12" s="6" t="inlineStr">
        <is>
          <t>O</t>
        </is>
      </c>
      <c r="P12" s="6" t="inlineStr">
        <is>
          <t>M Cargo</t>
        </is>
      </c>
      <c r="Q12" s="6" t="inlineStr">
        <is>
          <t>M Cargo</t>
        </is>
      </c>
      <c r="R12" s="6" t="inlineStr">
        <is>
          <t>N Cargo</t>
        </is>
      </c>
      <c r="S12" s="6" t="inlineStr">
        <is>
          <t>N Cargo</t>
        </is>
      </c>
      <c r="T12" s="6" t="inlineStr">
        <is>
          <t>O</t>
        </is>
      </c>
      <c r="U12" s="6" t="inlineStr">
        <is>
          <t>A Cargo</t>
        </is>
      </c>
      <c r="V12" s="6" t="inlineStr">
        <is>
          <t>A Cargo</t>
        </is>
      </c>
      <c r="W12" s="6" t="inlineStr">
        <is>
          <t>O</t>
        </is>
      </c>
      <c r="X12" s="6" t="inlineStr">
        <is>
          <t>M Cargo</t>
        </is>
      </c>
      <c r="Y12" s="6" t="inlineStr">
        <is>
          <t>M Cargo</t>
        </is>
      </c>
      <c r="Z12" s="6" t="inlineStr">
        <is>
          <t>N Cargo</t>
        </is>
      </c>
      <c r="AA12" s="6" t="inlineStr">
        <is>
          <t>N Cargo</t>
        </is>
      </c>
      <c r="AB12" s="6" t="inlineStr">
        <is>
          <t>O</t>
        </is>
      </c>
      <c r="AC12" s="6" t="inlineStr">
        <is>
          <t>A Cargo</t>
        </is>
      </c>
      <c r="AD12" s="6" t="inlineStr">
        <is>
          <t>A Cargo</t>
        </is>
      </c>
      <c r="AE12" s="6" t="inlineStr">
        <is>
          <t>O</t>
        </is>
      </c>
      <c r="AF12" s="6" t="inlineStr">
        <is>
          <t>M Cargo</t>
        </is>
      </c>
      <c r="AG12" s="9" t="inlineStr">
        <is>
          <t>M Cargo</t>
        </is>
      </c>
    </row>
    <row r="13">
      <c r="B13" s="22" t="inlineStr">
        <is>
          <t>Staff 11</t>
        </is>
      </c>
      <c r="C13" s="6" t="inlineStr">
        <is>
          <t>N Train</t>
        </is>
      </c>
      <c r="D13" s="6" t="inlineStr">
        <is>
          <t>O</t>
        </is>
      </c>
      <c r="E13" s="6" t="inlineStr">
        <is>
          <t>A Train</t>
        </is>
      </c>
      <c r="F13" s="6" t="inlineStr">
        <is>
          <t>A Train</t>
        </is>
      </c>
      <c r="G13" s="6" t="inlineStr">
        <is>
          <t>O</t>
        </is>
      </c>
      <c r="H13" s="6" t="inlineStr">
        <is>
          <t>M Train</t>
        </is>
      </c>
      <c r="I13" s="6" t="inlineStr">
        <is>
          <t>M Train</t>
        </is>
      </c>
      <c r="J13" s="6" t="inlineStr">
        <is>
          <t>N Train</t>
        </is>
      </c>
      <c r="K13" s="6" t="inlineStr">
        <is>
          <t>N Train</t>
        </is>
      </c>
      <c r="L13" s="6" t="inlineStr">
        <is>
          <t>O</t>
        </is>
      </c>
      <c r="M13" s="6" t="inlineStr">
        <is>
          <t>A Train</t>
        </is>
      </c>
      <c r="N13" s="6" t="inlineStr">
        <is>
          <t>A Train</t>
        </is>
      </c>
      <c r="O13" s="6" t="inlineStr">
        <is>
          <t>O</t>
        </is>
      </c>
      <c r="P13" s="6" t="inlineStr">
        <is>
          <t>M Train</t>
        </is>
      </c>
      <c r="Q13" s="6" t="inlineStr">
        <is>
          <t>M Train</t>
        </is>
      </c>
      <c r="R13" s="6" t="inlineStr">
        <is>
          <t>N Train</t>
        </is>
      </c>
      <c r="S13" s="6" t="inlineStr">
        <is>
          <t>N Train</t>
        </is>
      </c>
      <c r="T13" s="6" t="inlineStr">
        <is>
          <t>O</t>
        </is>
      </c>
      <c r="U13" s="6" t="inlineStr">
        <is>
          <t>A Train</t>
        </is>
      </c>
      <c r="V13" s="6" t="inlineStr">
        <is>
          <t>A Train</t>
        </is>
      </c>
      <c r="W13" s="6" t="inlineStr">
        <is>
          <t>O</t>
        </is>
      </c>
      <c r="X13" s="6" t="inlineStr">
        <is>
          <t>M Train</t>
        </is>
      </c>
      <c r="Y13" s="6" t="inlineStr">
        <is>
          <t>M Train</t>
        </is>
      </c>
      <c r="Z13" s="6" t="inlineStr">
        <is>
          <t>N Train</t>
        </is>
      </c>
      <c r="AA13" s="6" t="inlineStr">
        <is>
          <t>N Train</t>
        </is>
      </c>
      <c r="AB13" s="6" t="inlineStr">
        <is>
          <t>O</t>
        </is>
      </c>
      <c r="AC13" s="6" t="inlineStr">
        <is>
          <t>A Train</t>
        </is>
      </c>
      <c r="AD13" s="6" t="inlineStr">
        <is>
          <t>A Train</t>
        </is>
      </c>
      <c r="AE13" s="6" t="inlineStr">
        <is>
          <t>O</t>
        </is>
      </c>
      <c r="AF13" s="6" t="inlineStr">
        <is>
          <t>M Train</t>
        </is>
      </c>
      <c r="AG13" s="9" t="inlineStr">
        <is>
          <t>M Train</t>
        </is>
      </c>
    </row>
    <row r="14">
      <c r="B14" s="22" t="inlineStr">
        <is>
          <t>Staff 12</t>
        </is>
      </c>
      <c r="C14" s="6" t="inlineStr">
        <is>
          <t>N Vehicles</t>
        </is>
      </c>
      <c r="D14" s="6" t="inlineStr">
        <is>
          <t>O</t>
        </is>
      </c>
      <c r="E14" s="6" t="inlineStr">
        <is>
          <t>A Vehicles</t>
        </is>
      </c>
      <c r="F14" s="6" t="inlineStr">
        <is>
          <t>A Vehicles</t>
        </is>
      </c>
      <c r="G14" s="6" t="inlineStr">
        <is>
          <t>O</t>
        </is>
      </c>
      <c r="H14" s="6" t="inlineStr">
        <is>
          <t>M Vehicles</t>
        </is>
      </c>
      <c r="I14" s="6" t="inlineStr">
        <is>
          <t>M Vehicles</t>
        </is>
      </c>
      <c r="J14" s="6" t="inlineStr">
        <is>
          <t>N Vehicles</t>
        </is>
      </c>
      <c r="K14" s="6" t="inlineStr">
        <is>
          <t>N Vehicles</t>
        </is>
      </c>
      <c r="L14" s="6" t="inlineStr">
        <is>
          <t>O</t>
        </is>
      </c>
      <c r="M14" s="6" t="inlineStr">
        <is>
          <t>A Vehicles</t>
        </is>
      </c>
      <c r="N14" s="6" t="inlineStr">
        <is>
          <t>A Vehicles</t>
        </is>
      </c>
      <c r="O14" s="6" t="inlineStr">
        <is>
          <t>O</t>
        </is>
      </c>
      <c r="P14" s="6" t="inlineStr">
        <is>
          <t>M Vehicles</t>
        </is>
      </c>
      <c r="Q14" s="6" t="inlineStr">
        <is>
          <t>M Vehicles</t>
        </is>
      </c>
      <c r="R14" s="6" t="inlineStr">
        <is>
          <t>N Vehicles</t>
        </is>
      </c>
      <c r="S14" s="6" t="inlineStr">
        <is>
          <t>N Vehicles</t>
        </is>
      </c>
      <c r="T14" s="6" t="inlineStr">
        <is>
          <t>O</t>
        </is>
      </c>
      <c r="U14" s="6" t="inlineStr">
        <is>
          <t>A Vehicles</t>
        </is>
      </c>
      <c r="V14" s="6" t="inlineStr">
        <is>
          <t>A Vehicles</t>
        </is>
      </c>
      <c r="W14" s="6" t="inlineStr">
        <is>
          <t>O</t>
        </is>
      </c>
      <c r="X14" s="6" t="inlineStr">
        <is>
          <t>M Vehicles</t>
        </is>
      </c>
      <c r="Y14" s="6" t="inlineStr">
        <is>
          <t>M Vehicles</t>
        </is>
      </c>
      <c r="Z14" s="6" t="inlineStr">
        <is>
          <t>N Vehicles</t>
        </is>
      </c>
      <c r="AA14" s="6" t="inlineStr">
        <is>
          <t>N Vehicles</t>
        </is>
      </c>
      <c r="AB14" s="6" t="inlineStr">
        <is>
          <t>O</t>
        </is>
      </c>
      <c r="AC14" s="6" t="inlineStr">
        <is>
          <t>A Vehicles</t>
        </is>
      </c>
      <c r="AD14" s="6" t="inlineStr">
        <is>
          <t>A Vehicles</t>
        </is>
      </c>
      <c r="AE14" s="6" t="inlineStr">
        <is>
          <t>O</t>
        </is>
      </c>
      <c r="AF14" s="6" t="inlineStr">
        <is>
          <t>M Vehicles</t>
        </is>
      </c>
      <c r="AG14" s="9" t="inlineStr">
        <is>
          <t>M Vehicles</t>
        </is>
      </c>
    </row>
    <row r="15">
      <c r="B15" s="22" t="inlineStr">
        <is>
          <t>Staff 13</t>
        </is>
      </c>
      <c r="C15" s="6" t="inlineStr">
        <is>
          <t>N Pax</t>
        </is>
      </c>
      <c r="D15" s="6" t="inlineStr">
        <is>
          <t>O</t>
        </is>
      </c>
      <c r="E15" s="6" t="inlineStr">
        <is>
          <t>A Pax</t>
        </is>
      </c>
      <c r="F15" s="6" t="inlineStr">
        <is>
          <t>A Pax</t>
        </is>
      </c>
      <c r="G15" s="6" t="inlineStr">
        <is>
          <t>O</t>
        </is>
      </c>
      <c r="H15" s="6" t="inlineStr">
        <is>
          <t>M Pax</t>
        </is>
      </c>
      <c r="I15" s="6" t="inlineStr">
        <is>
          <t>M Pax</t>
        </is>
      </c>
      <c r="J15" s="6" t="inlineStr">
        <is>
          <t>N Pax</t>
        </is>
      </c>
      <c r="K15" s="6" t="inlineStr">
        <is>
          <t>N Pax</t>
        </is>
      </c>
      <c r="L15" s="6" t="inlineStr">
        <is>
          <t>O</t>
        </is>
      </c>
      <c r="M15" s="6" t="inlineStr">
        <is>
          <t>A Pax</t>
        </is>
      </c>
      <c r="N15" s="6" t="inlineStr">
        <is>
          <t>A Pax</t>
        </is>
      </c>
      <c r="O15" s="6" t="inlineStr">
        <is>
          <t>O</t>
        </is>
      </c>
      <c r="P15" s="6" t="inlineStr">
        <is>
          <t>M Pax</t>
        </is>
      </c>
      <c r="Q15" s="6" t="inlineStr">
        <is>
          <t>M Pax</t>
        </is>
      </c>
      <c r="R15" s="6" t="inlineStr">
        <is>
          <t>N Pax</t>
        </is>
      </c>
      <c r="S15" s="6" t="inlineStr">
        <is>
          <t>N Pax</t>
        </is>
      </c>
      <c r="T15" s="6" t="inlineStr">
        <is>
          <t>O</t>
        </is>
      </c>
      <c r="U15" s="6" t="inlineStr">
        <is>
          <t>A Pax</t>
        </is>
      </c>
      <c r="V15" s="6" t="inlineStr">
        <is>
          <t>A Pax</t>
        </is>
      </c>
      <c r="W15" s="6" t="inlineStr">
        <is>
          <t>O</t>
        </is>
      </c>
      <c r="X15" s="6" t="inlineStr">
        <is>
          <t>M Pax</t>
        </is>
      </c>
      <c r="Y15" s="6" t="inlineStr">
        <is>
          <t>M Pax</t>
        </is>
      </c>
      <c r="Z15" s="6" t="inlineStr">
        <is>
          <t>N Pax</t>
        </is>
      </c>
      <c r="AA15" s="6" t="inlineStr">
        <is>
          <t>N Pax</t>
        </is>
      </c>
      <c r="AB15" s="6" t="inlineStr">
        <is>
          <t>O</t>
        </is>
      </c>
      <c r="AC15" s="6" t="inlineStr">
        <is>
          <t>A Pax</t>
        </is>
      </c>
      <c r="AD15" s="6" t="inlineStr">
        <is>
          <t>A Pax</t>
        </is>
      </c>
      <c r="AE15" s="6" t="inlineStr">
        <is>
          <t>O</t>
        </is>
      </c>
      <c r="AF15" s="6" t="inlineStr">
        <is>
          <t>M Pax</t>
        </is>
      </c>
      <c r="AG15" s="9" t="inlineStr">
        <is>
          <t>M Pax</t>
        </is>
      </c>
    </row>
    <row r="16">
      <c r="B16" s="22" t="inlineStr">
        <is>
          <t>Staff 14</t>
        </is>
      </c>
      <c r="C16" s="6" t="inlineStr">
        <is>
          <t>N Cargo</t>
        </is>
      </c>
      <c r="D16" s="6" t="inlineStr">
        <is>
          <t>O</t>
        </is>
      </c>
      <c r="E16" s="6" t="inlineStr">
        <is>
          <t>A Cargo</t>
        </is>
      </c>
      <c r="F16" s="6" t="inlineStr">
        <is>
          <t>A Cargo</t>
        </is>
      </c>
      <c r="G16" s="6" t="inlineStr">
        <is>
          <t>O</t>
        </is>
      </c>
      <c r="H16" s="6" t="inlineStr">
        <is>
          <t>M Cargo</t>
        </is>
      </c>
      <c r="I16" s="6" t="inlineStr">
        <is>
          <t>M Cargo</t>
        </is>
      </c>
      <c r="J16" s="6" t="inlineStr">
        <is>
          <t>N Cargo</t>
        </is>
      </c>
      <c r="K16" s="6" t="inlineStr">
        <is>
          <t>N Cargo</t>
        </is>
      </c>
      <c r="L16" s="6" t="inlineStr">
        <is>
          <t>O</t>
        </is>
      </c>
      <c r="M16" s="6" t="inlineStr">
        <is>
          <t>A Cargo</t>
        </is>
      </c>
      <c r="N16" s="6" t="inlineStr">
        <is>
          <t>A Cargo</t>
        </is>
      </c>
      <c r="O16" s="6" t="inlineStr">
        <is>
          <t>O</t>
        </is>
      </c>
      <c r="P16" s="6" t="inlineStr">
        <is>
          <t>M Cargo</t>
        </is>
      </c>
      <c r="Q16" s="6" t="inlineStr">
        <is>
          <t>M Cargo</t>
        </is>
      </c>
      <c r="R16" s="6" t="inlineStr">
        <is>
          <t>N Cargo</t>
        </is>
      </c>
      <c r="S16" s="6" t="inlineStr">
        <is>
          <t>N Cargo</t>
        </is>
      </c>
      <c r="T16" s="6" t="inlineStr">
        <is>
          <t>O</t>
        </is>
      </c>
      <c r="U16" s="6" t="inlineStr">
        <is>
          <t>A Cargo</t>
        </is>
      </c>
      <c r="V16" s="6" t="inlineStr">
        <is>
          <t>A Cargo</t>
        </is>
      </c>
      <c r="W16" s="6" t="inlineStr">
        <is>
          <t>O</t>
        </is>
      </c>
      <c r="X16" s="6" t="inlineStr">
        <is>
          <t>M Cargo</t>
        </is>
      </c>
      <c r="Y16" s="6" t="inlineStr">
        <is>
          <t>M Cargo</t>
        </is>
      </c>
      <c r="Z16" s="6" t="inlineStr">
        <is>
          <t>N Cargo</t>
        </is>
      </c>
      <c r="AA16" s="6" t="inlineStr">
        <is>
          <t>N Cargo</t>
        </is>
      </c>
      <c r="AB16" s="6" t="inlineStr">
        <is>
          <t>O</t>
        </is>
      </c>
      <c r="AC16" s="6" t="inlineStr">
        <is>
          <t>A Cargo</t>
        </is>
      </c>
      <c r="AD16" s="6" t="inlineStr">
        <is>
          <t>A Cargo</t>
        </is>
      </c>
      <c r="AE16" s="6" t="inlineStr">
        <is>
          <t>O</t>
        </is>
      </c>
      <c r="AF16" s="6" t="inlineStr">
        <is>
          <t>M Cargo</t>
        </is>
      </c>
      <c r="AG16" s="9" t="inlineStr">
        <is>
          <t>M Cargo</t>
        </is>
      </c>
    </row>
    <row r="17">
      <c r="B17" s="22" t="inlineStr">
        <is>
          <t>Staff 15</t>
        </is>
      </c>
      <c r="C17" s="6" t="inlineStr">
        <is>
          <t>M Pax</t>
        </is>
      </c>
      <c r="D17" s="6" t="inlineStr">
        <is>
          <t>N Pax</t>
        </is>
      </c>
      <c r="E17" s="6" t="inlineStr">
        <is>
          <t>N Pax</t>
        </is>
      </c>
      <c r="F17" s="6" t="inlineStr">
        <is>
          <t>O</t>
        </is>
      </c>
      <c r="G17" s="6" t="inlineStr">
        <is>
          <t>A Pax</t>
        </is>
      </c>
      <c r="H17" s="6" t="inlineStr">
        <is>
          <t>A Pax</t>
        </is>
      </c>
      <c r="I17" s="6" t="inlineStr">
        <is>
          <t>O</t>
        </is>
      </c>
      <c r="J17" s="6" t="inlineStr">
        <is>
          <t>M Pax</t>
        </is>
      </c>
      <c r="K17" s="6" t="inlineStr">
        <is>
          <t>M Pax</t>
        </is>
      </c>
      <c r="L17" s="6" t="inlineStr">
        <is>
          <t>N Pax</t>
        </is>
      </c>
      <c r="M17" s="6" t="inlineStr">
        <is>
          <t>N Pax</t>
        </is>
      </c>
      <c r="N17" s="6" t="inlineStr">
        <is>
          <t>O</t>
        </is>
      </c>
      <c r="O17" s="6" t="inlineStr">
        <is>
          <t>A Pax</t>
        </is>
      </c>
      <c r="P17" s="6" t="inlineStr">
        <is>
          <t>A Pax</t>
        </is>
      </c>
      <c r="Q17" s="6" t="inlineStr">
        <is>
          <t>O</t>
        </is>
      </c>
      <c r="R17" s="6" t="inlineStr">
        <is>
          <t>M Pax</t>
        </is>
      </c>
      <c r="S17" s="6" t="inlineStr">
        <is>
          <t>M Pax</t>
        </is>
      </c>
      <c r="T17" s="6" t="inlineStr">
        <is>
          <t>N Pax</t>
        </is>
      </c>
      <c r="U17" s="6" t="inlineStr">
        <is>
          <t>N Pax</t>
        </is>
      </c>
      <c r="V17" s="6" t="inlineStr">
        <is>
          <t>O</t>
        </is>
      </c>
      <c r="W17" s="6" t="inlineStr">
        <is>
          <t>A Pax</t>
        </is>
      </c>
      <c r="X17" s="6" t="inlineStr">
        <is>
          <t>A Pax</t>
        </is>
      </c>
      <c r="Y17" s="6" t="inlineStr">
        <is>
          <t>O</t>
        </is>
      </c>
      <c r="Z17" s="6" t="inlineStr">
        <is>
          <t>M Pax</t>
        </is>
      </c>
      <c r="AA17" s="6" t="inlineStr">
        <is>
          <t>M Pax</t>
        </is>
      </c>
      <c r="AB17" s="6" t="inlineStr">
        <is>
          <t>N Pax</t>
        </is>
      </c>
      <c r="AC17" s="6" t="inlineStr">
        <is>
          <t>N Pax</t>
        </is>
      </c>
      <c r="AD17" s="6" t="inlineStr">
        <is>
          <t>O</t>
        </is>
      </c>
      <c r="AE17" s="6" t="inlineStr">
        <is>
          <t>A Pax</t>
        </is>
      </c>
      <c r="AF17" s="6" t="inlineStr">
        <is>
          <t>A Pax</t>
        </is>
      </c>
      <c r="AG17" s="9" t="inlineStr">
        <is>
          <t>O</t>
        </is>
      </c>
    </row>
    <row r="18">
      <c r="B18" s="22" t="inlineStr">
        <is>
          <t>Staff 16</t>
        </is>
      </c>
      <c r="C18" s="6" t="inlineStr">
        <is>
          <t>M Train</t>
        </is>
      </c>
      <c r="D18" s="6" t="inlineStr">
        <is>
          <t>N Train</t>
        </is>
      </c>
      <c r="E18" s="6" t="inlineStr">
        <is>
          <t>N Train</t>
        </is>
      </c>
      <c r="F18" s="6" t="inlineStr">
        <is>
          <t>O</t>
        </is>
      </c>
      <c r="G18" s="6" t="inlineStr">
        <is>
          <t>A Train</t>
        </is>
      </c>
      <c r="H18" s="6" t="inlineStr">
        <is>
          <t>A Train</t>
        </is>
      </c>
      <c r="I18" s="6" t="inlineStr">
        <is>
          <t>O</t>
        </is>
      </c>
      <c r="J18" s="6" t="inlineStr">
        <is>
          <t>M Train</t>
        </is>
      </c>
      <c r="K18" s="6" t="inlineStr">
        <is>
          <t>M Train</t>
        </is>
      </c>
      <c r="L18" s="6" t="inlineStr">
        <is>
          <t>N Train</t>
        </is>
      </c>
      <c r="M18" s="6" t="inlineStr">
        <is>
          <t>N Train</t>
        </is>
      </c>
      <c r="N18" s="6" t="inlineStr">
        <is>
          <t>O</t>
        </is>
      </c>
      <c r="O18" s="6" t="inlineStr">
        <is>
          <t>A Train</t>
        </is>
      </c>
      <c r="P18" s="6" t="inlineStr">
        <is>
          <t>A Train</t>
        </is>
      </c>
      <c r="Q18" s="6" t="inlineStr">
        <is>
          <t>O</t>
        </is>
      </c>
      <c r="R18" s="6" t="inlineStr">
        <is>
          <t>M Train</t>
        </is>
      </c>
      <c r="S18" s="6" t="inlineStr">
        <is>
          <t>M Train</t>
        </is>
      </c>
      <c r="T18" s="6" t="inlineStr">
        <is>
          <t>N Train</t>
        </is>
      </c>
      <c r="U18" s="6" t="inlineStr">
        <is>
          <t>N Train</t>
        </is>
      </c>
      <c r="V18" s="6" t="inlineStr">
        <is>
          <t>O</t>
        </is>
      </c>
      <c r="W18" s="6" t="inlineStr">
        <is>
          <t>A Train</t>
        </is>
      </c>
      <c r="X18" s="6" t="inlineStr">
        <is>
          <t>A Train</t>
        </is>
      </c>
      <c r="Y18" s="6" t="inlineStr">
        <is>
          <t>O</t>
        </is>
      </c>
      <c r="Z18" s="6" t="inlineStr">
        <is>
          <t>M Train</t>
        </is>
      </c>
      <c r="AA18" s="6" t="inlineStr">
        <is>
          <t>M Train</t>
        </is>
      </c>
      <c r="AB18" s="6" t="inlineStr">
        <is>
          <t>N Train</t>
        </is>
      </c>
      <c r="AC18" s="6" t="inlineStr">
        <is>
          <t>N Train</t>
        </is>
      </c>
      <c r="AD18" s="6" t="inlineStr">
        <is>
          <t>O</t>
        </is>
      </c>
      <c r="AE18" s="6" t="inlineStr">
        <is>
          <t>A Train</t>
        </is>
      </c>
      <c r="AF18" s="6" t="inlineStr">
        <is>
          <t>A Train</t>
        </is>
      </c>
      <c r="AG18" s="9" t="inlineStr">
        <is>
          <t>O</t>
        </is>
      </c>
    </row>
    <row r="19">
      <c r="B19" s="22" t="inlineStr">
        <is>
          <t>Staff 17</t>
        </is>
      </c>
      <c r="C19" s="6" t="inlineStr">
        <is>
          <t>M Pax</t>
        </is>
      </c>
      <c r="D19" s="6" t="inlineStr">
        <is>
          <t>N Pax</t>
        </is>
      </c>
      <c r="E19" s="6" t="inlineStr">
        <is>
          <t>N Pax</t>
        </is>
      </c>
      <c r="F19" s="6" t="inlineStr">
        <is>
          <t>O</t>
        </is>
      </c>
      <c r="G19" s="6" t="inlineStr">
        <is>
          <t>A Pax</t>
        </is>
      </c>
      <c r="H19" s="6" t="inlineStr">
        <is>
          <t>A Pax</t>
        </is>
      </c>
      <c r="I19" s="6" t="inlineStr">
        <is>
          <t>O</t>
        </is>
      </c>
      <c r="J19" s="6" t="inlineStr">
        <is>
          <t>M Pax</t>
        </is>
      </c>
      <c r="K19" s="6" t="inlineStr">
        <is>
          <t>M Pax</t>
        </is>
      </c>
      <c r="L19" s="6" t="inlineStr">
        <is>
          <t>N Pax</t>
        </is>
      </c>
      <c r="M19" s="6" t="inlineStr">
        <is>
          <t>N Pax</t>
        </is>
      </c>
      <c r="N19" s="6" t="inlineStr">
        <is>
          <t>O</t>
        </is>
      </c>
      <c r="O19" s="6" t="inlineStr">
        <is>
          <t>A Pax</t>
        </is>
      </c>
      <c r="P19" s="6" t="inlineStr">
        <is>
          <t>A Pax</t>
        </is>
      </c>
      <c r="Q19" s="6" t="inlineStr">
        <is>
          <t>O</t>
        </is>
      </c>
      <c r="R19" s="6" t="inlineStr">
        <is>
          <t>M Pax</t>
        </is>
      </c>
      <c r="S19" s="6" t="inlineStr">
        <is>
          <t>M Pax</t>
        </is>
      </c>
      <c r="T19" s="6" t="inlineStr">
        <is>
          <t>N Pax</t>
        </is>
      </c>
      <c r="U19" s="6" t="inlineStr">
        <is>
          <t>N Pax</t>
        </is>
      </c>
      <c r="V19" s="6" t="inlineStr">
        <is>
          <t>O</t>
        </is>
      </c>
      <c r="W19" s="6" t="inlineStr">
        <is>
          <t>A Pax</t>
        </is>
      </c>
      <c r="X19" s="6" t="inlineStr">
        <is>
          <t>A Pax</t>
        </is>
      </c>
      <c r="Y19" s="6" t="inlineStr">
        <is>
          <t>O</t>
        </is>
      </c>
      <c r="Z19" s="6" t="inlineStr">
        <is>
          <t>M Pax</t>
        </is>
      </c>
      <c r="AA19" s="6" t="inlineStr">
        <is>
          <t>M Pax</t>
        </is>
      </c>
      <c r="AB19" s="6" t="inlineStr">
        <is>
          <t>N Pax</t>
        </is>
      </c>
      <c r="AC19" s="6" t="inlineStr">
        <is>
          <t>N Pax</t>
        </is>
      </c>
      <c r="AD19" s="6" t="inlineStr">
        <is>
          <t>O</t>
        </is>
      </c>
      <c r="AE19" s="6" t="inlineStr">
        <is>
          <t>A Pax</t>
        </is>
      </c>
      <c r="AF19" s="6" t="inlineStr">
        <is>
          <t>A Pax</t>
        </is>
      </c>
      <c r="AG19" s="9" t="inlineStr">
        <is>
          <t>O</t>
        </is>
      </c>
    </row>
    <row r="20">
      <c r="B20" s="22" t="inlineStr">
        <is>
          <t>Staff 18</t>
        </is>
      </c>
      <c r="C20" s="6" t="inlineStr">
        <is>
          <t>M Vehicles</t>
        </is>
      </c>
      <c r="D20" s="6" t="inlineStr">
        <is>
          <t>N Vehicles</t>
        </is>
      </c>
      <c r="E20" s="6" t="inlineStr">
        <is>
          <t>N Vehicles</t>
        </is>
      </c>
      <c r="F20" s="6" t="inlineStr">
        <is>
          <t>O</t>
        </is>
      </c>
      <c r="G20" s="6" t="inlineStr">
        <is>
          <t>A Vehicles</t>
        </is>
      </c>
      <c r="H20" s="6" t="inlineStr">
        <is>
          <t>A Vehicles</t>
        </is>
      </c>
      <c r="I20" s="6" t="inlineStr">
        <is>
          <t>O</t>
        </is>
      </c>
      <c r="J20" s="6" t="inlineStr">
        <is>
          <t>M Vehicles</t>
        </is>
      </c>
      <c r="K20" s="6" t="inlineStr">
        <is>
          <t>M Vehicles</t>
        </is>
      </c>
      <c r="L20" s="6" t="inlineStr">
        <is>
          <t>N Vehicles</t>
        </is>
      </c>
      <c r="M20" s="6" t="inlineStr">
        <is>
          <t>N Vehicles</t>
        </is>
      </c>
      <c r="N20" s="6" t="inlineStr">
        <is>
          <t>O</t>
        </is>
      </c>
      <c r="O20" s="6" t="inlineStr">
        <is>
          <t>A Vehicles</t>
        </is>
      </c>
      <c r="P20" s="6" t="inlineStr">
        <is>
          <t>A Vehicles</t>
        </is>
      </c>
      <c r="Q20" s="6" t="inlineStr">
        <is>
          <t>O</t>
        </is>
      </c>
      <c r="R20" s="6" t="inlineStr">
        <is>
          <t>M Vehicles</t>
        </is>
      </c>
      <c r="S20" s="6" t="inlineStr">
        <is>
          <t>M Vehicles</t>
        </is>
      </c>
      <c r="T20" s="6" t="inlineStr">
        <is>
          <t>N Vehicles</t>
        </is>
      </c>
      <c r="U20" s="6" t="inlineStr">
        <is>
          <t>N Vehicles</t>
        </is>
      </c>
      <c r="V20" s="6" t="inlineStr">
        <is>
          <t>O</t>
        </is>
      </c>
      <c r="W20" s="6" t="inlineStr">
        <is>
          <t>A Vehicles</t>
        </is>
      </c>
      <c r="X20" s="6" t="inlineStr">
        <is>
          <t>A Vehicles</t>
        </is>
      </c>
      <c r="Y20" s="6" t="inlineStr">
        <is>
          <t>O</t>
        </is>
      </c>
      <c r="Z20" s="6" t="inlineStr">
        <is>
          <t>M Vehicles</t>
        </is>
      </c>
      <c r="AA20" s="6" t="inlineStr">
        <is>
          <t>M Vehicles</t>
        </is>
      </c>
      <c r="AB20" s="6" t="inlineStr">
        <is>
          <t>N Vehicles</t>
        </is>
      </c>
      <c r="AC20" s="6" t="inlineStr">
        <is>
          <t>N Vehicles</t>
        </is>
      </c>
      <c r="AD20" s="6" t="inlineStr">
        <is>
          <t>O</t>
        </is>
      </c>
      <c r="AE20" s="6" t="inlineStr">
        <is>
          <t>A Vehicles</t>
        </is>
      </c>
      <c r="AF20" s="6" t="inlineStr">
        <is>
          <t>A Vehicles</t>
        </is>
      </c>
      <c r="AG20" s="9" t="inlineStr">
        <is>
          <t>O</t>
        </is>
      </c>
    </row>
    <row r="21">
      <c r="B21" s="23" t="inlineStr">
        <is>
          <t>Staff 19</t>
        </is>
      </c>
      <c r="C21" s="10" t="inlineStr">
        <is>
          <t>M Cargo</t>
        </is>
      </c>
      <c r="D21" s="10" t="inlineStr">
        <is>
          <t>N Cargo</t>
        </is>
      </c>
      <c r="E21" s="10" t="inlineStr">
        <is>
          <t>N Cargo</t>
        </is>
      </c>
      <c r="F21" s="10" t="inlineStr">
        <is>
          <t>O</t>
        </is>
      </c>
      <c r="G21" s="10" t="inlineStr">
        <is>
          <t>A Cargo</t>
        </is>
      </c>
      <c r="H21" s="10" t="inlineStr">
        <is>
          <t>A Cargo</t>
        </is>
      </c>
      <c r="I21" s="10" t="inlineStr">
        <is>
          <t>O</t>
        </is>
      </c>
      <c r="J21" s="10" t="inlineStr">
        <is>
          <t>M Cargo</t>
        </is>
      </c>
      <c r="K21" s="10" t="inlineStr">
        <is>
          <t>M Cargo</t>
        </is>
      </c>
      <c r="L21" s="10" t="inlineStr">
        <is>
          <t>N Cargo</t>
        </is>
      </c>
      <c r="M21" s="10" t="inlineStr">
        <is>
          <t>N Cargo</t>
        </is>
      </c>
      <c r="N21" s="10" t="inlineStr">
        <is>
          <t>O</t>
        </is>
      </c>
      <c r="O21" s="10" t="inlineStr">
        <is>
          <t>A Cargo</t>
        </is>
      </c>
      <c r="P21" s="10" t="inlineStr">
        <is>
          <t>A Cargo</t>
        </is>
      </c>
      <c r="Q21" s="10" t="inlineStr">
        <is>
          <t>O</t>
        </is>
      </c>
      <c r="R21" s="10" t="inlineStr">
        <is>
          <t>M Cargo</t>
        </is>
      </c>
      <c r="S21" s="10" t="inlineStr">
        <is>
          <t>M Cargo</t>
        </is>
      </c>
      <c r="T21" s="10" t="inlineStr">
        <is>
          <t>N Cargo</t>
        </is>
      </c>
      <c r="U21" s="10" t="inlineStr">
        <is>
          <t>N Cargo</t>
        </is>
      </c>
      <c r="V21" s="10" t="inlineStr">
        <is>
          <t>O</t>
        </is>
      </c>
      <c r="W21" s="10" t="inlineStr">
        <is>
          <t>A Cargo</t>
        </is>
      </c>
      <c r="X21" s="10" t="inlineStr">
        <is>
          <t>A Cargo</t>
        </is>
      </c>
      <c r="Y21" s="10" t="inlineStr">
        <is>
          <t>O</t>
        </is>
      </c>
      <c r="Z21" s="10" t="inlineStr">
        <is>
          <t>M Cargo</t>
        </is>
      </c>
      <c r="AA21" s="10" t="inlineStr">
        <is>
          <t>M Cargo</t>
        </is>
      </c>
      <c r="AB21" s="10" t="inlineStr">
        <is>
          <t>N Cargo</t>
        </is>
      </c>
      <c r="AC21" s="10" t="inlineStr">
        <is>
          <t>N Cargo</t>
        </is>
      </c>
      <c r="AD21" s="10" t="inlineStr">
        <is>
          <t>O</t>
        </is>
      </c>
      <c r="AE21" s="10" t="inlineStr">
        <is>
          <t>A Cargo</t>
        </is>
      </c>
      <c r="AF21" s="10" t="inlineStr">
        <is>
          <t>A Cargo</t>
        </is>
      </c>
      <c r="AG21" s="11" t="inlineStr">
        <is>
          <t>O</t>
        </is>
      </c>
    </row>
    <row r="22"/>
    <row r="23">
      <c r="A23" s="1" t="inlineStr">
        <is>
          <t>Zone Assignment Statistics</t>
        </is>
      </c>
    </row>
    <row r="24">
      <c r="A24" s="24" t="inlineStr">
        <is>
          <t>Zone</t>
        </is>
      </c>
      <c r="B24" s="3" t="inlineStr">
        <is>
          <t>Shift</t>
        </is>
      </c>
      <c r="C24" s="3" t="inlineStr">
        <is>
          <t>Day 1</t>
        </is>
      </c>
      <c r="D24" s="3" t="inlineStr">
        <is>
          <t>Day 2</t>
        </is>
      </c>
      <c r="E24" s="3" t="inlineStr">
        <is>
          <t>Day 3</t>
        </is>
      </c>
      <c r="F24" s="3" t="inlineStr">
        <is>
          <t>Day 4</t>
        </is>
      </c>
      <c r="G24" s="3" t="inlineStr">
        <is>
          <t>Day 5</t>
        </is>
      </c>
      <c r="H24" s="3" t="inlineStr">
        <is>
          <t>Day 6</t>
        </is>
      </c>
      <c r="I24" s="3" t="inlineStr">
        <is>
          <t>Day 7</t>
        </is>
      </c>
      <c r="J24" s="3" t="inlineStr">
        <is>
          <t>Day 8</t>
        </is>
      </c>
      <c r="K24" s="3" t="inlineStr">
        <is>
          <t>Day 9</t>
        </is>
      </c>
      <c r="L24" s="3" t="inlineStr">
        <is>
          <t>Day 10</t>
        </is>
      </c>
      <c r="M24" s="3" t="inlineStr">
        <is>
          <t>Day 11</t>
        </is>
      </c>
      <c r="N24" s="3" t="inlineStr">
        <is>
          <t>Day 12</t>
        </is>
      </c>
      <c r="O24" s="3" t="inlineStr">
        <is>
          <t>Day 13</t>
        </is>
      </c>
      <c r="P24" s="3" t="inlineStr">
        <is>
          <t>Day 14</t>
        </is>
      </c>
      <c r="Q24" s="3" t="inlineStr">
        <is>
          <t>Day 15</t>
        </is>
      </c>
      <c r="R24" s="3" t="inlineStr">
        <is>
          <t>Day 16</t>
        </is>
      </c>
      <c r="S24" s="3" t="inlineStr">
        <is>
          <t>Day 17</t>
        </is>
      </c>
      <c r="T24" s="3" t="inlineStr">
        <is>
          <t>Day 18</t>
        </is>
      </c>
      <c r="U24" s="3" t="inlineStr">
        <is>
          <t>Day 19</t>
        </is>
      </c>
      <c r="V24" s="3" t="inlineStr">
        <is>
          <t>Day 20</t>
        </is>
      </c>
      <c r="W24" s="3" t="inlineStr">
        <is>
          <t>Day 21</t>
        </is>
      </c>
      <c r="X24" s="3" t="inlineStr">
        <is>
          <t>Day 22</t>
        </is>
      </c>
      <c r="Y24" s="3" t="inlineStr">
        <is>
          <t>Day 23</t>
        </is>
      </c>
      <c r="Z24" s="3" t="inlineStr">
        <is>
          <t>Day 24</t>
        </is>
      </c>
      <c r="AA24" s="3" t="inlineStr">
        <is>
          <t>Day 25</t>
        </is>
      </c>
      <c r="AB24" s="3" t="inlineStr">
        <is>
          <t>Day 26</t>
        </is>
      </c>
      <c r="AC24" s="3" t="inlineStr">
        <is>
          <t>Day 27</t>
        </is>
      </c>
      <c r="AD24" s="3" t="inlineStr">
        <is>
          <t>Day 28</t>
        </is>
      </c>
      <c r="AE24" s="3" t="inlineStr">
        <is>
          <t>Day 29</t>
        </is>
      </c>
      <c r="AF24" s="3" t="inlineStr">
        <is>
          <t>Day 30</t>
        </is>
      </c>
      <c r="AG24" s="4" t="inlineStr">
        <is>
          <t>Day 31</t>
        </is>
      </c>
    </row>
    <row r="25">
      <c r="A25" s="5" t="inlineStr">
        <is>
          <t>Cargo</t>
        </is>
      </c>
      <c r="B25" s="6" t="inlineStr">
        <is>
          <t>M</t>
        </is>
      </c>
      <c r="C25" s="7">
        <f>IF(COUNTIF(C$3:C$21,$B25&amp;" "&amp;$A25)&gt;=Description!C3,"Passed", "Failed")</f>
        <v/>
      </c>
      <c r="D25" s="7">
        <f>IF(COUNTIF(D$3:D$21,$B25&amp;" "&amp;$A25)&gt;=Description!D3,"Passed", "Failed")</f>
        <v/>
      </c>
      <c r="E25" s="7">
        <f>IF(COUNTIF(E$3:E$21,$B25&amp;" "&amp;$A25)&gt;=Description!E3,"Passed", "Failed")</f>
        <v/>
      </c>
      <c r="F25" s="7">
        <f>IF(COUNTIF(F$3:F$21,$B25&amp;" "&amp;$A25)&gt;=Description!F3,"Passed", "Failed")</f>
        <v/>
      </c>
      <c r="G25" s="7">
        <f>IF(COUNTIF(G$3:G$21,$B25&amp;" "&amp;$A25)&gt;=Description!G3,"Passed", "Failed")</f>
        <v/>
      </c>
      <c r="H25" s="7">
        <f>IF(COUNTIF(H$3:H$21,$B25&amp;" "&amp;$A25)&gt;=Description!H3,"Passed", "Failed")</f>
        <v/>
      </c>
      <c r="I25" s="7">
        <f>IF(COUNTIF(I$3:I$21,$B25&amp;" "&amp;$A25)&gt;=Description!I3,"Passed", "Failed")</f>
        <v/>
      </c>
      <c r="J25" s="7">
        <f>IF(COUNTIF(J$3:J$21,$B25&amp;" "&amp;$A25)&gt;=Description!J3,"Passed", "Failed")</f>
        <v/>
      </c>
      <c r="K25" s="7">
        <f>IF(COUNTIF(K$3:K$21,$B25&amp;" "&amp;$A25)&gt;=Description!K3,"Passed", "Failed")</f>
        <v/>
      </c>
      <c r="L25" s="7">
        <f>IF(COUNTIF(L$3:L$21,$B25&amp;" "&amp;$A25)&gt;=Description!L3,"Passed", "Failed")</f>
        <v/>
      </c>
      <c r="M25" s="7">
        <f>IF(COUNTIF(M$3:M$21,$B25&amp;" "&amp;$A25)&gt;=Description!M3,"Passed", "Failed")</f>
        <v/>
      </c>
      <c r="N25" s="7">
        <f>IF(COUNTIF(N$3:N$21,$B25&amp;" "&amp;$A25)&gt;=Description!N3,"Passed", "Failed")</f>
        <v/>
      </c>
      <c r="O25" s="7">
        <f>IF(COUNTIF(O$3:O$21,$B25&amp;" "&amp;$A25)&gt;=Description!O3,"Passed", "Failed")</f>
        <v/>
      </c>
      <c r="P25" s="7">
        <f>IF(COUNTIF(P$3:P$21,$B25&amp;" "&amp;$A25)&gt;=Description!P3,"Passed", "Failed")</f>
        <v/>
      </c>
      <c r="Q25" s="7">
        <f>IF(COUNTIF(Q$3:Q$21,$B25&amp;" "&amp;$A25)&gt;=Description!Q3,"Passed", "Failed")</f>
        <v/>
      </c>
      <c r="R25" s="7">
        <f>IF(COUNTIF(R$3:R$21,$B25&amp;" "&amp;$A25)&gt;=Description!R3,"Passed", "Failed")</f>
        <v/>
      </c>
      <c r="S25" s="7">
        <f>IF(COUNTIF(S$3:S$21,$B25&amp;" "&amp;$A25)&gt;=Description!S3,"Passed", "Failed")</f>
        <v/>
      </c>
      <c r="T25" s="7">
        <f>IF(COUNTIF(T$3:T$21,$B25&amp;" "&amp;$A25)&gt;=Description!T3,"Passed", "Failed")</f>
        <v/>
      </c>
      <c r="U25" s="7">
        <f>IF(COUNTIF(U$3:U$21,$B25&amp;" "&amp;$A25)&gt;=Description!U3,"Passed", "Failed")</f>
        <v/>
      </c>
      <c r="V25" s="7">
        <f>IF(COUNTIF(V$3:V$21,$B25&amp;" "&amp;$A25)&gt;=Description!V3,"Passed", "Failed")</f>
        <v/>
      </c>
      <c r="W25" s="7">
        <f>IF(COUNTIF(W$3:W$21,$B25&amp;" "&amp;$A25)&gt;=Description!W3,"Passed", "Failed")</f>
        <v/>
      </c>
      <c r="X25" s="7">
        <f>IF(COUNTIF(X$3:X$21,$B25&amp;" "&amp;$A25)&gt;=Description!X3,"Passed", "Failed")</f>
        <v/>
      </c>
      <c r="Y25" s="7">
        <f>IF(COUNTIF(Y$3:Y$21,$B25&amp;" "&amp;$A25)&gt;=Description!Y3,"Passed", "Failed")</f>
        <v/>
      </c>
      <c r="Z25" s="7">
        <f>IF(COUNTIF(Z$3:Z$21,$B25&amp;" "&amp;$A25)&gt;=Description!Z3,"Passed", "Failed")</f>
        <v/>
      </c>
      <c r="AA25" s="7">
        <f>IF(COUNTIF(AA$3:AA$21,$B25&amp;" "&amp;$A25)&gt;=Description!AA3,"Passed", "Failed")</f>
        <v/>
      </c>
      <c r="AB25" s="7">
        <f>IF(COUNTIF(AB$3:AB$21,$B25&amp;" "&amp;$A25)&gt;=Description!AB3,"Passed", "Failed")</f>
        <v/>
      </c>
      <c r="AC25" s="7">
        <f>IF(COUNTIF(AC$3:AC$21,$B25&amp;" "&amp;$A25)&gt;=Description!AC3,"Passed", "Failed")</f>
        <v/>
      </c>
      <c r="AD25" s="7">
        <f>IF(COUNTIF(AD$3:AD$21,$B25&amp;" "&amp;$A25)&gt;=Description!AD3,"Passed", "Failed")</f>
        <v/>
      </c>
      <c r="AE25" s="7">
        <f>IF(COUNTIF(AE$3:AE$21,$B25&amp;" "&amp;$A25)&gt;=Description!AE3,"Passed", "Failed")</f>
        <v/>
      </c>
      <c r="AF25" s="7">
        <f>IF(COUNTIF(AF$3:AF$21,$B25&amp;" "&amp;$A25)&gt;=Description!AF3,"Passed", "Failed")</f>
        <v/>
      </c>
      <c r="AG25" s="7">
        <f>IF(COUNTIF(AG$3:AG$21,$B25&amp;" "&amp;$A25)&gt;=Description!AG3,"Passed", "Failed")</f>
        <v/>
      </c>
    </row>
    <row r="26">
      <c r="A26" s="5" t="inlineStr">
        <is>
          <t>Cargo</t>
        </is>
      </c>
      <c r="B26" s="6" t="inlineStr">
        <is>
          <t>A</t>
        </is>
      </c>
      <c r="C26" s="7">
        <f>IF(COUNTIF(C$3:C$21,$B26&amp;" "&amp;$A26)&gt;=Description!C4,"Passed", "Failed")</f>
        <v/>
      </c>
      <c r="D26" s="7">
        <f>IF(COUNTIF(D$3:D$21,$B26&amp;" "&amp;$A26)&gt;=Description!D4,"Passed", "Failed")</f>
        <v/>
      </c>
      <c r="E26" s="7">
        <f>IF(COUNTIF(E$3:E$21,$B26&amp;" "&amp;$A26)&gt;=Description!E4,"Passed", "Failed")</f>
        <v/>
      </c>
      <c r="F26" s="7">
        <f>IF(COUNTIF(F$3:F$21,$B26&amp;" "&amp;$A26)&gt;=Description!F4,"Passed", "Failed")</f>
        <v/>
      </c>
      <c r="G26" s="7">
        <f>IF(COUNTIF(G$3:G$21,$B26&amp;" "&amp;$A26)&gt;=Description!G4,"Passed", "Failed")</f>
        <v/>
      </c>
      <c r="H26" s="7">
        <f>IF(COUNTIF(H$3:H$21,$B26&amp;" "&amp;$A26)&gt;=Description!H4,"Passed", "Failed")</f>
        <v/>
      </c>
      <c r="I26" s="7">
        <f>IF(COUNTIF(I$3:I$21,$B26&amp;" "&amp;$A26)&gt;=Description!I4,"Passed", "Failed")</f>
        <v/>
      </c>
      <c r="J26" s="7">
        <f>IF(COUNTIF(J$3:J$21,$B26&amp;" "&amp;$A26)&gt;=Description!J4,"Passed", "Failed")</f>
        <v/>
      </c>
      <c r="K26" s="7">
        <f>IF(COUNTIF(K$3:K$21,$B26&amp;" "&amp;$A26)&gt;=Description!K4,"Passed", "Failed")</f>
        <v/>
      </c>
      <c r="L26" s="7">
        <f>IF(COUNTIF(L$3:L$21,$B26&amp;" "&amp;$A26)&gt;=Description!L4,"Passed", "Failed")</f>
        <v/>
      </c>
      <c r="M26" s="7">
        <f>IF(COUNTIF(M$3:M$21,$B26&amp;" "&amp;$A26)&gt;=Description!M4,"Passed", "Failed")</f>
        <v/>
      </c>
      <c r="N26" s="7">
        <f>IF(COUNTIF(N$3:N$21,$B26&amp;" "&amp;$A26)&gt;=Description!N4,"Passed", "Failed")</f>
        <v/>
      </c>
      <c r="O26" s="7">
        <f>IF(COUNTIF(O$3:O$21,$B26&amp;" "&amp;$A26)&gt;=Description!O4,"Passed", "Failed")</f>
        <v/>
      </c>
      <c r="P26" s="7">
        <f>IF(COUNTIF(P$3:P$21,$B26&amp;" "&amp;$A26)&gt;=Description!P4,"Passed", "Failed")</f>
        <v/>
      </c>
      <c r="Q26" s="7">
        <f>IF(COUNTIF(Q$3:Q$21,$B26&amp;" "&amp;$A26)&gt;=Description!Q4,"Passed", "Failed")</f>
        <v/>
      </c>
      <c r="R26" s="7">
        <f>IF(COUNTIF(R$3:R$21,$B26&amp;" "&amp;$A26)&gt;=Description!R4,"Passed", "Failed")</f>
        <v/>
      </c>
      <c r="S26" s="7">
        <f>IF(COUNTIF(S$3:S$21,$B26&amp;" "&amp;$A26)&gt;=Description!S4,"Passed", "Failed")</f>
        <v/>
      </c>
      <c r="T26" s="7">
        <f>IF(COUNTIF(T$3:T$21,$B26&amp;" "&amp;$A26)&gt;=Description!T4,"Passed", "Failed")</f>
        <v/>
      </c>
      <c r="U26" s="7">
        <f>IF(COUNTIF(U$3:U$21,$B26&amp;" "&amp;$A26)&gt;=Description!U4,"Passed", "Failed")</f>
        <v/>
      </c>
      <c r="V26" s="7">
        <f>IF(COUNTIF(V$3:V$21,$B26&amp;" "&amp;$A26)&gt;=Description!V4,"Passed", "Failed")</f>
        <v/>
      </c>
      <c r="W26" s="7">
        <f>IF(COUNTIF(W$3:W$21,$B26&amp;" "&amp;$A26)&gt;=Description!W4,"Passed", "Failed")</f>
        <v/>
      </c>
      <c r="X26" s="7">
        <f>IF(COUNTIF(X$3:X$21,$B26&amp;" "&amp;$A26)&gt;=Description!X4,"Passed", "Failed")</f>
        <v/>
      </c>
      <c r="Y26" s="7">
        <f>IF(COUNTIF(Y$3:Y$21,$B26&amp;" "&amp;$A26)&gt;=Description!Y4,"Passed", "Failed")</f>
        <v/>
      </c>
      <c r="Z26" s="7">
        <f>IF(COUNTIF(Z$3:Z$21,$B26&amp;" "&amp;$A26)&gt;=Description!Z4,"Passed", "Failed")</f>
        <v/>
      </c>
      <c r="AA26" s="7">
        <f>IF(COUNTIF(AA$3:AA$21,$B26&amp;" "&amp;$A26)&gt;=Description!AA4,"Passed", "Failed")</f>
        <v/>
      </c>
      <c r="AB26" s="7">
        <f>IF(COUNTIF(AB$3:AB$21,$B26&amp;" "&amp;$A26)&gt;=Description!AB4,"Passed", "Failed")</f>
        <v/>
      </c>
      <c r="AC26" s="7">
        <f>IF(COUNTIF(AC$3:AC$21,$B26&amp;" "&amp;$A26)&gt;=Description!AC4,"Passed", "Failed")</f>
        <v/>
      </c>
      <c r="AD26" s="7">
        <f>IF(COUNTIF(AD$3:AD$21,$B26&amp;" "&amp;$A26)&gt;=Description!AD4,"Passed", "Failed")</f>
        <v/>
      </c>
      <c r="AE26" s="7">
        <f>IF(COUNTIF(AE$3:AE$21,$B26&amp;" "&amp;$A26)&gt;=Description!AE4,"Passed", "Failed")</f>
        <v/>
      </c>
      <c r="AF26" s="7">
        <f>IF(COUNTIF(AF$3:AF$21,$B26&amp;" "&amp;$A26)&gt;=Description!AF4,"Passed", "Failed")</f>
        <v/>
      </c>
      <c r="AG26" s="7">
        <f>IF(COUNTIF(AG$3:AG$21,$B26&amp;" "&amp;$A26)&gt;=Description!AG4,"Passed", "Failed")</f>
        <v/>
      </c>
    </row>
    <row r="27">
      <c r="A27" s="5" t="inlineStr">
        <is>
          <t>Cargo</t>
        </is>
      </c>
      <c r="B27" s="10" t="inlineStr">
        <is>
          <t>N</t>
        </is>
      </c>
      <c r="C27" s="7">
        <f>IF(COUNTIF(C$3:C$21,$B27&amp;" "&amp;$A27)&gt;=Description!C5,"Passed", "Failed")</f>
        <v/>
      </c>
      <c r="D27" s="7">
        <f>IF(COUNTIF(D$3:D$21,$B27&amp;" "&amp;$A27)&gt;=Description!D5,"Passed", "Failed")</f>
        <v/>
      </c>
      <c r="E27" s="7">
        <f>IF(COUNTIF(E$3:E$21,$B27&amp;" "&amp;$A27)&gt;=Description!E5,"Passed", "Failed")</f>
        <v/>
      </c>
      <c r="F27" s="7">
        <f>IF(COUNTIF(F$3:F$21,$B27&amp;" "&amp;$A27)&gt;=Description!F5,"Passed", "Failed")</f>
        <v/>
      </c>
      <c r="G27" s="7">
        <f>IF(COUNTIF(G$3:G$21,$B27&amp;" "&amp;$A27)&gt;=Description!G5,"Passed", "Failed")</f>
        <v/>
      </c>
      <c r="H27" s="7">
        <f>IF(COUNTIF(H$3:H$21,$B27&amp;" "&amp;$A27)&gt;=Description!H5,"Passed", "Failed")</f>
        <v/>
      </c>
      <c r="I27" s="7">
        <f>IF(COUNTIF(I$3:I$21,$B27&amp;" "&amp;$A27)&gt;=Description!I5,"Passed", "Failed")</f>
        <v/>
      </c>
      <c r="J27" s="7">
        <f>IF(COUNTIF(J$3:J$21,$B27&amp;" "&amp;$A27)&gt;=Description!J5,"Passed", "Failed")</f>
        <v/>
      </c>
      <c r="K27" s="7">
        <f>IF(COUNTIF(K$3:K$21,$B27&amp;" "&amp;$A27)&gt;=Description!K5,"Passed", "Failed")</f>
        <v/>
      </c>
      <c r="L27" s="7">
        <f>IF(COUNTIF(L$3:L$21,$B27&amp;" "&amp;$A27)&gt;=Description!L5,"Passed", "Failed")</f>
        <v/>
      </c>
      <c r="M27" s="7">
        <f>IF(COUNTIF(M$3:M$21,$B27&amp;" "&amp;$A27)&gt;=Description!M5,"Passed", "Failed")</f>
        <v/>
      </c>
      <c r="N27" s="7">
        <f>IF(COUNTIF(N$3:N$21,$B27&amp;" "&amp;$A27)&gt;=Description!N5,"Passed", "Failed")</f>
        <v/>
      </c>
      <c r="O27" s="7">
        <f>IF(COUNTIF(O$3:O$21,$B27&amp;" "&amp;$A27)&gt;=Description!O5,"Passed", "Failed")</f>
        <v/>
      </c>
      <c r="P27" s="7">
        <f>IF(COUNTIF(P$3:P$21,$B27&amp;" "&amp;$A27)&gt;=Description!P5,"Passed", "Failed")</f>
        <v/>
      </c>
      <c r="Q27" s="7">
        <f>IF(COUNTIF(Q$3:Q$21,$B27&amp;" "&amp;$A27)&gt;=Description!Q5,"Passed", "Failed")</f>
        <v/>
      </c>
      <c r="R27" s="7">
        <f>IF(COUNTIF(R$3:R$21,$B27&amp;" "&amp;$A27)&gt;=Description!R5,"Passed", "Failed")</f>
        <v/>
      </c>
      <c r="S27" s="7">
        <f>IF(COUNTIF(S$3:S$21,$B27&amp;" "&amp;$A27)&gt;=Description!S5,"Passed", "Failed")</f>
        <v/>
      </c>
      <c r="T27" s="7">
        <f>IF(COUNTIF(T$3:T$21,$B27&amp;" "&amp;$A27)&gt;=Description!T5,"Passed", "Failed")</f>
        <v/>
      </c>
      <c r="U27" s="7">
        <f>IF(COUNTIF(U$3:U$21,$B27&amp;" "&amp;$A27)&gt;=Description!U5,"Passed", "Failed")</f>
        <v/>
      </c>
      <c r="V27" s="7">
        <f>IF(COUNTIF(V$3:V$21,$B27&amp;" "&amp;$A27)&gt;=Description!V5,"Passed", "Failed")</f>
        <v/>
      </c>
      <c r="W27" s="7">
        <f>IF(COUNTIF(W$3:W$21,$B27&amp;" "&amp;$A27)&gt;=Description!W5,"Passed", "Failed")</f>
        <v/>
      </c>
      <c r="X27" s="7">
        <f>IF(COUNTIF(X$3:X$21,$B27&amp;" "&amp;$A27)&gt;=Description!X5,"Passed", "Failed")</f>
        <v/>
      </c>
      <c r="Y27" s="7">
        <f>IF(COUNTIF(Y$3:Y$21,$B27&amp;" "&amp;$A27)&gt;=Description!Y5,"Passed", "Failed")</f>
        <v/>
      </c>
      <c r="Z27" s="7">
        <f>IF(COUNTIF(Z$3:Z$21,$B27&amp;" "&amp;$A27)&gt;=Description!Z5,"Passed", "Failed")</f>
        <v/>
      </c>
      <c r="AA27" s="7">
        <f>IF(COUNTIF(AA$3:AA$21,$B27&amp;" "&amp;$A27)&gt;=Description!AA5,"Passed", "Failed")</f>
        <v/>
      </c>
      <c r="AB27" s="7">
        <f>IF(COUNTIF(AB$3:AB$21,$B27&amp;" "&amp;$A27)&gt;=Description!AB5,"Passed", "Failed")</f>
        <v/>
      </c>
      <c r="AC27" s="7">
        <f>IF(COUNTIF(AC$3:AC$21,$B27&amp;" "&amp;$A27)&gt;=Description!AC5,"Passed", "Failed")</f>
        <v/>
      </c>
      <c r="AD27" s="7">
        <f>IF(COUNTIF(AD$3:AD$21,$B27&amp;" "&amp;$A27)&gt;=Description!AD5,"Passed", "Failed")</f>
        <v/>
      </c>
      <c r="AE27" s="7">
        <f>IF(COUNTIF(AE$3:AE$21,$B27&amp;" "&amp;$A27)&gt;=Description!AE5,"Passed", "Failed")</f>
        <v/>
      </c>
      <c r="AF27" s="7">
        <f>IF(COUNTIF(AF$3:AF$21,$B27&amp;" "&amp;$A27)&gt;=Description!AF5,"Passed", "Failed")</f>
        <v/>
      </c>
      <c r="AG27" s="7">
        <f>IF(COUNTIF(AG$3:AG$21,$B27&amp;" "&amp;$A27)&gt;=Description!AG5,"Passed", "Failed")</f>
        <v/>
      </c>
    </row>
    <row r="28">
      <c r="A28" s="12" t="inlineStr">
        <is>
          <t>Pax</t>
        </is>
      </c>
      <c r="B28" s="6" t="inlineStr">
        <is>
          <t>M</t>
        </is>
      </c>
      <c r="C28" s="7">
        <f>IF(COUNTIF(C$3:C$21,$B28&amp;" "&amp;$A28)&gt;=Description!C6,"Passed", "Failed")</f>
        <v/>
      </c>
      <c r="D28" s="7">
        <f>IF(COUNTIF(D$3:D$21,$B28&amp;" "&amp;$A28)&gt;=Description!D6,"Passed", "Failed")</f>
        <v/>
      </c>
      <c r="E28" s="7">
        <f>IF(COUNTIF(E$3:E$21,$B28&amp;" "&amp;$A28)&gt;=Description!E6,"Passed", "Failed")</f>
        <v/>
      </c>
      <c r="F28" s="7">
        <f>IF(COUNTIF(F$3:F$21,$B28&amp;" "&amp;$A28)&gt;=Description!F6,"Passed", "Failed")</f>
        <v/>
      </c>
      <c r="G28" s="7">
        <f>IF(COUNTIF(G$3:G$21,$B28&amp;" "&amp;$A28)&gt;=Description!G6,"Passed", "Failed")</f>
        <v/>
      </c>
      <c r="H28" s="7">
        <f>IF(COUNTIF(H$3:H$21,$B28&amp;" "&amp;$A28)&gt;=Description!H6,"Passed", "Failed")</f>
        <v/>
      </c>
      <c r="I28" s="7">
        <f>IF(COUNTIF(I$3:I$21,$B28&amp;" "&amp;$A28)&gt;=Description!I6,"Passed", "Failed")</f>
        <v/>
      </c>
      <c r="J28" s="7">
        <f>IF(COUNTIF(J$3:J$21,$B28&amp;" "&amp;$A28)&gt;=Description!J6,"Passed", "Failed")</f>
        <v/>
      </c>
      <c r="K28" s="7">
        <f>IF(COUNTIF(K$3:K$21,$B28&amp;" "&amp;$A28)&gt;=Description!K6,"Passed", "Failed")</f>
        <v/>
      </c>
      <c r="L28" s="7">
        <f>IF(COUNTIF(L$3:L$21,$B28&amp;" "&amp;$A28)&gt;=Description!L6,"Passed", "Failed")</f>
        <v/>
      </c>
      <c r="M28" s="7">
        <f>IF(COUNTIF(M$3:M$21,$B28&amp;" "&amp;$A28)&gt;=Description!M6,"Passed", "Failed")</f>
        <v/>
      </c>
      <c r="N28" s="7">
        <f>IF(COUNTIF(N$3:N$21,$B28&amp;" "&amp;$A28)&gt;=Description!N6,"Passed", "Failed")</f>
        <v/>
      </c>
      <c r="O28" s="7">
        <f>IF(COUNTIF(O$3:O$21,$B28&amp;" "&amp;$A28)&gt;=Description!O6,"Passed", "Failed")</f>
        <v/>
      </c>
      <c r="P28" s="7">
        <f>IF(COUNTIF(P$3:P$21,$B28&amp;" "&amp;$A28)&gt;=Description!P6,"Passed", "Failed")</f>
        <v/>
      </c>
      <c r="Q28" s="7">
        <f>IF(COUNTIF(Q$3:Q$21,$B28&amp;" "&amp;$A28)&gt;=Description!Q6,"Passed", "Failed")</f>
        <v/>
      </c>
      <c r="R28" s="7">
        <f>IF(COUNTIF(R$3:R$21,$B28&amp;" "&amp;$A28)&gt;=Description!R6,"Passed", "Failed")</f>
        <v/>
      </c>
      <c r="S28" s="7">
        <f>IF(COUNTIF(S$3:S$21,$B28&amp;" "&amp;$A28)&gt;=Description!S6,"Passed", "Failed")</f>
        <v/>
      </c>
      <c r="T28" s="7">
        <f>IF(COUNTIF(T$3:T$21,$B28&amp;" "&amp;$A28)&gt;=Description!T6,"Passed", "Failed")</f>
        <v/>
      </c>
      <c r="U28" s="7">
        <f>IF(COUNTIF(U$3:U$21,$B28&amp;" "&amp;$A28)&gt;=Description!U6,"Passed", "Failed")</f>
        <v/>
      </c>
      <c r="V28" s="7">
        <f>IF(COUNTIF(V$3:V$21,$B28&amp;" "&amp;$A28)&gt;=Description!V6,"Passed", "Failed")</f>
        <v/>
      </c>
      <c r="W28" s="7">
        <f>IF(COUNTIF(W$3:W$21,$B28&amp;" "&amp;$A28)&gt;=Description!W6,"Passed", "Failed")</f>
        <v/>
      </c>
      <c r="X28" s="7">
        <f>IF(COUNTIF(X$3:X$21,$B28&amp;" "&amp;$A28)&gt;=Description!X6,"Passed", "Failed")</f>
        <v/>
      </c>
      <c r="Y28" s="7">
        <f>IF(COUNTIF(Y$3:Y$21,$B28&amp;" "&amp;$A28)&gt;=Description!Y6,"Passed", "Failed")</f>
        <v/>
      </c>
      <c r="Z28" s="7">
        <f>IF(COUNTIF(Z$3:Z$21,$B28&amp;" "&amp;$A28)&gt;=Description!Z6,"Passed", "Failed")</f>
        <v/>
      </c>
      <c r="AA28" s="7">
        <f>IF(COUNTIF(AA$3:AA$21,$B28&amp;" "&amp;$A28)&gt;=Description!AA6,"Passed", "Failed")</f>
        <v/>
      </c>
      <c r="AB28" s="7">
        <f>IF(COUNTIF(AB$3:AB$21,$B28&amp;" "&amp;$A28)&gt;=Description!AB6,"Passed", "Failed")</f>
        <v/>
      </c>
      <c r="AC28" s="7">
        <f>IF(COUNTIF(AC$3:AC$21,$B28&amp;" "&amp;$A28)&gt;=Description!AC6,"Passed", "Failed")</f>
        <v/>
      </c>
      <c r="AD28" s="7">
        <f>IF(COUNTIF(AD$3:AD$21,$B28&amp;" "&amp;$A28)&gt;=Description!AD6,"Passed", "Failed")</f>
        <v/>
      </c>
      <c r="AE28" s="7">
        <f>IF(COUNTIF(AE$3:AE$21,$B28&amp;" "&amp;$A28)&gt;=Description!AE6,"Passed", "Failed")</f>
        <v/>
      </c>
      <c r="AF28" s="7">
        <f>IF(COUNTIF(AF$3:AF$21,$B28&amp;" "&amp;$A28)&gt;=Description!AF6,"Passed", "Failed")</f>
        <v/>
      </c>
      <c r="AG28" s="7">
        <f>IF(COUNTIF(AG$3:AG$21,$B28&amp;" "&amp;$A28)&gt;=Description!AG6,"Passed", "Failed")</f>
        <v/>
      </c>
    </row>
    <row r="29">
      <c r="A29" s="5" t="inlineStr">
        <is>
          <t>Pax</t>
        </is>
      </c>
      <c r="B29" s="6" t="inlineStr">
        <is>
          <t>A</t>
        </is>
      </c>
      <c r="C29" s="7">
        <f>IF(COUNTIF(C$3:C$21,$B29&amp;" "&amp;$A29)&gt;=Description!C7,"Passed", "Failed")</f>
        <v/>
      </c>
      <c r="D29" s="7">
        <f>IF(COUNTIF(D$3:D$21,$B29&amp;" "&amp;$A29)&gt;=Description!D7,"Passed", "Failed")</f>
        <v/>
      </c>
      <c r="E29" s="7">
        <f>IF(COUNTIF(E$3:E$21,$B29&amp;" "&amp;$A29)&gt;=Description!E7,"Passed", "Failed")</f>
        <v/>
      </c>
      <c r="F29" s="7">
        <f>IF(COUNTIF(F$3:F$21,$B29&amp;" "&amp;$A29)&gt;=Description!F7,"Passed", "Failed")</f>
        <v/>
      </c>
      <c r="G29" s="7">
        <f>IF(COUNTIF(G$3:G$21,$B29&amp;" "&amp;$A29)&gt;=Description!G7,"Passed", "Failed")</f>
        <v/>
      </c>
      <c r="H29" s="7">
        <f>IF(COUNTIF(H$3:H$21,$B29&amp;" "&amp;$A29)&gt;=Description!H7,"Passed", "Failed")</f>
        <v/>
      </c>
      <c r="I29" s="7">
        <f>IF(COUNTIF(I$3:I$21,$B29&amp;" "&amp;$A29)&gt;=Description!I7,"Passed", "Failed")</f>
        <v/>
      </c>
      <c r="J29" s="7">
        <f>IF(COUNTIF(J$3:J$21,$B29&amp;" "&amp;$A29)&gt;=Description!J7,"Passed", "Failed")</f>
        <v/>
      </c>
      <c r="K29" s="7">
        <f>IF(COUNTIF(K$3:K$21,$B29&amp;" "&amp;$A29)&gt;=Description!K7,"Passed", "Failed")</f>
        <v/>
      </c>
      <c r="L29" s="7">
        <f>IF(COUNTIF(L$3:L$21,$B29&amp;" "&amp;$A29)&gt;=Description!L7,"Passed", "Failed")</f>
        <v/>
      </c>
      <c r="M29" s="7">
        <f>IF(COUNTIF(M$3:M$21,$B29&amp;" "&amp;$A29)&gt;=Description!M7,"Passed", "Failed")</f>
        <v/>
      </c>
      <c r="N29" s="7">
        <f>IF(COUNTIF(N$3:N$21,$B29&amp;" "&amp;$A29)&gt;=Description!N7,"Passed", "Failed")</f>
        <v/>
      </c>
      <c r="O29" s="7">
        <f>IF(COUNTIF(O$3:O$21,$B29&amp;" "&amp;$A29)&gt;=Description!O7,"Passed", "Failed")</f>
        <v/>
      </c>
      <c r="P29" s="7">
        <f>IF(COUNTIF(P$3:P$21,$B29&amp;" "&amp;$A29)&gt;=Description!P7,"Passed", "Failed")</f>
        <v/>
      </c>
      <c r="Q29" s="7">
        <f>IF(COUNTIF(Q$3:Q$21,$B29&amp;" "&amp;$A29)&gt;=Description!Q7,"Passed", "Failed")</f>
        <v/>
      </c>
      <c r="R29" s="7">
        <f>IF(COUNTIF(R$3:R$21,$B29&amp;" "&amp;$A29)&gt;=Description!R7,"Passed", "Failed")</f>
        <v/>
      </c>
      <c r="S29" s="7">
        <f>IF(COUNTIF(S$3:S$21,$B29&amp;" "&amp;$A29)&gt;=Description!S7,"Passed", "Failed")</f>
        <v/>
      </c>
      <c r="T29" s="7">
        <f>IF(COUNTIF(T$3:T$21,$B29&amp;" "&amp;$A29)&gt;=Description!T7,"Passed", "Failed")</f>
        <v/>
      </c>
      <c r="U29" s="7">
        <f>IF(COUNTIF(U$3:U$21,$B29&amp;" "&amp;$A29)&gt;=Description!U7,"Passed", "Failed")</f>
        <v/>
      </c>
      <c r="V29" s="7">
        <f>IF(COUNTIF(V$3:V$21,$B29&amp;" "&amp;$A29)&gt;=Description!V7,"Passed", "Failed")</f>
        <v/>
      </c>
      <c r="W29" s="7">
        <f>IF(COUNTIF(W$3:W$21,$B29&amp;" "&amp;$A29)&gt;=Description!W7,"Passed", "Failed")</f>
        <v/>
      </c>
      <c r="X29" s="7">
        <f>IF(COUNTIF(X$3:X$21,$B29&amp;" "&amp;$A29)&gt;=Description!X7,"Passed", "Failed")</f>
        <v/>
      </c>
      <c r="Y29" s="7">
        <f>IF(COUNTIF(Y$3:Y$21,$B29&amp;" "&amp;$A29)&gt;=Description!Y7,"Passed", "Failed")</f>
        <v/>
      </c>
      <c r="Z29" s="7">
        <f>IF(COUNTIF(Z$3:Z$21,$B29&amp;" "&amp;$A29)&gt;=Description!Z7,"Passed", "Failed")</f>
        <v/>
      </c>
      <c r="AA29" s="7">
        <f>IF(COUNTIF(AA$3:AA$21,$B29&amp;" "&amp;$A29)&gt;=Description!AA7,"Passed", "Failed")</f>
        <v/>
      </c>
      <c r="AB29" s="7">
        <f>IF(COUNTIF(AB$3:AB$21,$B29&amp;" "&amp;$A29)&gt;=Description!AB7,"Passed", "Failed")</f>
        <v/>
      </c>
      <c r="AC29" s="7">
        <f>IF(COUNTIF(AC$3:AC$21,$B29&amp;" "&amp;$A29)&gt;=Description!AC7,"Passed", "Failed")</f>
        <v/>
      </c>
      <c r="AD29" s="7">
        <f>IF(COUNTIF(AD$3:AD$21,$B29&amp;" "&amp;$A29)&gt;=Description!AD7,"Passed", "Failed")</f>
        <v/>
      </c>
      <c r="AE29" s="7">
        <f>IF(COUNTIF(AE$3:AE$21,$B29&amp;" "&amp;$A29)&gt;=Description!AE7,"Passed", "Failed")</f>
        <v/>
      </c>
      <c r="AF29" s="7">
        <f>IF(COUNTIF(AF$3:AF$21,$B29&amp;" "&amp;$A29)&gt;=Description!AF7,"Passed", "Failed")</f>
        <v/>
      </c>
      <c r="AG29" s="7">
        <f>IF(COUNTIF(AG$3:AG$21,$B29&amp;" "&amp;$A29)&gt;=Description!AG7,"Passed", "Failed")</f>
        <v/>
      </c>
    </row>
    <row r="30">
      <c r="A30" s="13" t="inlineStr">
        <is>
          <t>Pax</t>
        </is>
      </c>
      <c r="B30" s="10" t="inlineStr">
        <is>
          <t>N</t>
        </is>
      </c>
      <c r="C30" s="7">
        <f>IF(COUNTIF(C$3:C$21,$B30&amp;" "&amp;$A30)&gt;=Description!C8,"Passed", "Failed")</f>
        <v/>
      </c>
      <c r="D30" s="7">
        <f>IF(COUNTIF(D$3:D$21,$B30&amp;" "&amp;$A30)&gt;=Description!D8,"Passed", "Failed")</f>
        <v/>
      </c>
      <c r="E30" s="7">
        <f>IF(COUNTIF(E$3:E$21,$B30&amp;" "&amp;$A30)&gt;=Description!E8,"Passed", "Failed")</f>
        <v/>
      </c>
      <c r="F30" s="7">
        <f>IF(COUNTIF(F$3:F$21,$B30&amp;" "&amp;$A30)&gt;=Description!F8,"Passed", "Failed")</f>
        <v/>
      </c>
      <c r="G30" s="7">
        <f>IF(COUNTIF(G$3:G$21,$B30&amp;" "&amp;$A30)&gt;=Description!G8,"Passed", "Failed")</f>
        <v/>
      </c>
      <c r="H30" s="7">
        <f>IF(COUNTIF(H$3:H$21,$B30&amp;" "&amp;$A30)&gt;=Description!H8,"Passed", "Failed")</f>
        <v/>
      </c>
      <c r="I30" s="7">
        <f>IF(COUNTIF(I$3:I$21,$B30&amp;" "&amp;$A30)&gt;=Description!I8,"Passed", "Failed")</f>
        <v/>
      </c>
      <c r="J30" s="7">
        <f>IF(COUNTIF(J$3:J$21,$B30&amp;" "&amp;$A30)&gt;=Description!J8,"Passed", "Failed")</f>
        <v/>
      </c>
      <c r="K30" s="7">
        <f>IF(COUNTIF(K$3:K$21,$B30&amp;" "&amp;$A30)&gt;=Description!K8,"Passed", "Failed")</f>
        <v/>
      </c>
      <c r="L30" s="7">
        <f>IF(COUNTIF(L$3:L$21,$B30&amp;" "&amp;$A30)&gt;=Description!L8,"Passed", "Failed")</f>
        <v/>
      </c>
      <c r="M30" s="7">
        <f>IF(COUNTIF(M$3:M$21,$B30&amp;" "&amp;$A30)&gt;=Description!M8,"Passed", "Failed")</f>
        <v/>
      </c>
      <c r="N30" s="7">
        <f>IF(COUNTIF(N$3:N$21,$B30&amp;" "&amp;$A30)&gt;=Description!N8,"Passed", "Failed")</f>
        <v/>
      </c>
      <c r="O30" s="7">
        <f>IF(COUNTIF(O$3:O$21,$B30&amp;" "&amp;$A30)&gt;=Description!O8,"Passed", "Failed")</f>
        <v/>
      </c>
      <c r="P30" s="7">
        <f>IF(COUNTIF(P$3:P$21,$B30&amp;" "&amp;$A30)&gt;=Description!P8,"Passed", "Failed")</f>
        <v/>
      </c>
      <c r="Q30" s="7">
        <f>IF(COUNTIF(Q$3:Q$21,$B30&amp;" "&amp;$A30)&gt;=Description!Q8,"Passed", "Failed")</f>
        <v/>
      </c>
      <c r="R30" s="7">
        <f>IF(COUNTIF(R$3:R$21,$B30&amp;" "&amp;$A30)&gt;=Description!R8,"Passed", "Failed")</f>
        <v/>
      </c>
      <c r="S30" s="7">
        <f>IF(COUNTIF(S$3:S$21,$B30&amp;" "&amp;$A30)&gt;=Description!S8,"Passed", "Failed")</f>
        <v/>
      </c>
      <c r="T30" s="7">
        <f>IF(COUNTIF(T$3:T$21,$B30&amp;" "&amp;$A30)&gt;=Description!T8,"Passed", "Failed")</f>
        <v/>
      </c>
      <c r="U30" s="7">
        <f>IF(COUNTIF(U$3:U$21,$B30&amp;" "&amp;$A30)&gt;=Description!U8,"Passed", "Failed")</f>
        <v/>
      </c>
      <c r="V30" s="7">
        <f>IF(COUNTIF(V$3:V$21,$B30&amp;" "&amp;$A30)&gt;=Description!V8,"Passed", "Failed")</f>
        <v/>
      </c>
      <c r="W30" s="7">
        <f>IF(COUNTIF(W$3:W$21,$B30&amp;" "&amp;$A30)&gt;=Description!W8,"Passed", "Failed")</f>
        <v/>
      </c>
      <c r="X30" s="7">
        <f>IF(COUNTIF(X$3:X$21,$B30&amp;" "&amp;$A30)&gt;=Description!X8,"Passed", "Failed")</f>
        <v/>
      </c>
      <c r="Y30" s="7">
        <f>IF(COUNTIF(Y$3:Y$21,$B30&amp;" "&amp;$A30)&gt;=Description!Y8,"Passed", "Failed")</f>
        <v/>
      </c>
      <c r="Z30" s="7">
        <f>IF(COUNTIF(Z$3:Z$21,$B30&amp;" "&amp;$A30)&gt;=Description!Z8,"Passed", "Failed")</f>
        <v/>
      </c>
      <c r="AA30" s="7">
        <f>IF(COUNTIF(AA$3:AA$21,$B30&amp;" "&amp;$A30)&gt;=Description!AA8,"Passed", "Failed")</f>
        <v/>
      </c>
      <c r="AB30" s="7">
        <f>IF(COUNTIF(AB$3:AB$21,$B30&amp;" "&amp;$A30)&gt;=Description!AB8,"Passed", "Failed")</f>
        <v/>
      </c>
      <c r="AC30" s="7">
        <f>IF(COUNTIF(AC$3:AC$21,$B30&amp;" "&amp;$A30)&gt;=Description!AC8,"Passed", "Failed")</f>
        <v/>
      </c>
      <c r="AD30" s="7">
        <f>IF(COUNTIF(AD$3:AD$21,$B30&amp;" "&amp;$A30)&gt;=Description!AD8,"Passed", "Failed")</f>
        <v/>
      </c>
      <c r="AE30" s="7">
        <f>IF(COUNTIF(AE$3:AE$21,$B30&amp;" "&amp;$A30)&gt;=Description!AE8,"Passed", "Failed")</f>
        <v/>
      </c>
      <c r="AF30" s="7">
        <f>IF(COUNTIF(AF$3:AF$21,$B30&amp;" "&amp;$A30)&gt;=Description!AF8,"Passed", "Failed")</f>
        <v/>
      </c>
      <c r="AG30" s="7">
        <f>IF(COUNTIF(AG$3:AG$21,$B30&amp;" "&amp;$A30)&gt;=Description!AG8,"Passed", "Failed")</f>
        <v/>
      </c>
    </row>
    <row r="31">
      <c r="A31" s="12" t="inlineStr">
        <is>
          <t>Vehicles</t>
        </is>
      </c>
      <c r="B31" s="6" t="inlineStr">
        <is>
          <t>M</t>
        </is>
      </c>
      <c r="C31" s="7">
        <f>IF(COUNTIF(C$3:C$21,$B31&amp;" "&amp;$A31)&gt;=Description!C9,"Passed", "Failed")</f>
        <v/>
      </c>
      <c r="D31" s="7">
        <f>IF(COUNTIF(D$3:D$21,$B31&amp;" "&amp;$A31)&gt;=Description!D9,"Passed", "Failed")</f>
        <v/>
      </c>
      <c r="E31" s="7">
        <f>IF(COUNTIF(E$3:E$21,$B31&amp;" "&amp;$A31)&gt;=Description!E9,"Passed", "Failed")</f>
        <v/>
      </c>
      <c r="F31" s="7">
        <f>IF(COUNTIF(F$3:F$21,$B31&amp;" "&amp;$A31)&gt;=Description!F9,"Passed", "Failed")</f>
        <v/>
      </c>
      <c r="G31" s="7">
        <f>IF(COUNTIF(G$3:G$21,$B31&amp;" "&amp;$A31)&gt;=Description!G9,"Passed", "Failed")</f>
        <v/>
      </c>
      <c r="H31" s="7">
        <f>IF(COUNTIF(H$3:H$21,$B31&amp;" "&amp;$A31)&gt;=Description!H9,"Passed", "Failed")</f>
        <v/>
      </c>
      <c r="I31" s="7">
        <f>IF(COUNTIF(I$3:I$21,$B31&amp;" "&amp;$A31)&gt;=Description!I9,"Passed", "Failed")</f>
        <v/>
      </c>
      <c r="J31" s="7">
        <f>IF(COUNTIF(J$3:J$21,$B31&amp;" "&amp;$A31)&gt;=Description!J9,"Passed", "Failed")</f>
        <v/>
      </c>
      <c r="K31" s="7">
        <f>IF(COUNTIF(K$3:K$21,$B31&amp;" "&amp;$A31)&gt;=Description!K9,"Passed", "Failed")</f>
        <v/>
      </c>
      <c r="L31" s="7">
        <f>IF(COUNTIF(L$3:L$21,$B31&amp;" "&amp;$A31)&gt;=Description!L9,"Passed", "Failed")</f>
        <v/>
      </c>
      <c r="M31" s="7">
        <f>IF(COUNTIF(M$3:M$21,$B31&amp;" "&amp;$A31)&gt;=Description!M9,"Passed", "Failed")</f>
        <v/>
      </c>
      <c r="N31" s="7">
        <f>IF(COUNTIF(N$3:N$21,$B31&amp;" "&amp;$A31)&gt;=Description!N9,"Passed", "Failed")</f>
        <v/>
      </c>
      <c r="O31" s="7">
        <f>IF(COUNTIF(O$3:O$21,$B31&amp;" "&amp;$A31)&gt;=Description!O9,"Passed", "Failed")</f>
        <v/>
      </c>
      <c r="P31" s="7">
        <f>IF(COUNTIF(P$3:P$21,$B31&amp;" "&amp;$A31)&gt;=Description!P9,"Passed", "Failed")</f>
        <v/>
      </c>
      <c r="Q31" s="7">
        <f>IF(COUNTIF(Q$3:Q$21,$B31&amp;" "&amp;$A31)&gt;=Description!Q9,"Passed", "Failed")</f>
        <v/>
      </c>
      <c r="R31" s="7">
        <f>IF(COUNTIF(R$3:R$21,$B31&amp;" "&amp;$A31)&gt;=Description!R9,"Passed", "Failed")</f>
        <v/>
      </c>
      <c r="S31" s="7">
        <f>IF(COUNTIF(S$3:S$21,$B31&amp;" "&amp;$A31)&gt;=Description!S9,"Passed", "Failed")</f>
        <v/>
      </c>
      <c r="T31" s="7">
        <f>IF(COUNTIF(T$3:T$21,$B31&amp;" "&amp;$A31)&gt;=Description!T9,"Passed", "Failed")</f>
        <v/>
      </c>
      <c r="U31" s="7">
        <f>IF(COUNTIF(U$3:U$21,$B31&amp;" "&amp;$A31)&gt;=Description!U9,"Passed", "Failed")</f>
        <v/>
      </c>
      <c r="V31" s="7">
        <f>IF(COUNTIF(V$3:V$21,$B31&amp;" "&amp;$A31)&gt;=Description!V9,"Passed", "Failed")</f>
        <v/>
      </c>
      <c r="W31" s="7">
        <f>IF(COUNTIF(W$3:W$21,$B31&amp;" "&amp;$A31)&gt;=Description!W9,"Passed", "Failed")</f>
        <v/>
      </c>
      <c r="X31" s="7">
        <f>IF(COUNTIF(X$3:X$21,$B31&amp;" "&amp;$A31)&gt;=Description!X9,"Passed", "Failed")</f>
        <v/>
      </c>
      <c r="Y31" s="7">
        <f>IF(COUNTIF(Y$3:Y$21,$B31&amp;" "&amp;$A31)&gt;=Description!Y9,"Passed", "Failed")</f>
        <v/>
      </c>
      <c r="Z31" s="7">
        <f>IF(COUNTIF(Z$3:Z$21,$B31&amp;" "&amp;$A31)&gt;=Description!Z9,"Passed", "Failed")</f>
        <v/>
      </c>
      <c r="AA31" s="7">
        <f>IF(COUNTIF(AA$3:AA$21,$B31&amp;" "&amp;$A31)&gt;=Description!AA9,"Passed", "Failed")</f>
        <v/>
      </c>
      <c r="AB31" s="7">
        <f>IF(COUNTIF(AB$3:AB$21,$B31&amp;" "&amp;$A31)&gt;=Description!AB9,"Passed", "Failed")</f>
        <v/>
      </c>
      <c r="AC31" s="7">
        <f>IF(COUNTIF(AC$3:AC$21,$B31&amp;" "&amp;$A31)&gt;=Description!AC9,"Passed", "Failed")</f>
        <v/>
      </c>
      <c r="AD31" s="7">
        <f>IF(COUNTIF(AD$3:AD$21,$B31&amp;" "&amp;$A31)&gt;=Description!AD9,"Passed", "Failed")</f>
        <v/>
      </c>
      <c r="AE31" s="7">
        <f>IF(COUNTIF(AE$3:AE$21,$B31&amp;" "&amp;$A31)&gt;=Description!AE9,"Passed", "Failed")</f>
        <v/>
      </c>
      <c r="AF31" s="7">
        <f>IF(COUNTIF(AF$3:AF$21,$B31&amp;" "&amp;$A31)&gt;=Description!AF9,"Passed", "Failed")</f>
        <v/>
      </c>
      <c r="AG31" s="7">
        <f>IF(COUNTIF(AG$3:AG$21,$B31&amp;" "&amp;$A31)&gt;=Description!AG9,"Passed", "Failed")</f>
        <v/>
      </c>
    </row>
    <row r="32">
      <c r="A32" s="14" t="inlineStr">
        <is>
          <t>Vehicles</t>
        </is>
      </c>
      <c r="B32" s="6" t="inlineStr">
        <is>
          <t>A</t>
        </is>
      </c>
      <c r="C32" s="7">
        <f>IF(COUNTIF(C$3:C$21,$B32&amp;" "&amp;$A32)&gt;=Description!C10,"Passed", "Failed")</f>
        <v/>
      </c>
      <c r="D32" s="7">
        <f>IF(COUNTIF(D$3:D$21,$B32&amp;" "&amp;$A32)&gt;=Description!D10,"Passed", "Failed")</f>
        <v/>
      </c>
      <c r="E32" s="7">
        <f>IF(COUNTIF(E$3:E$21,$B32&amp;" "&amp;$A32)&gt;=Description!E10,"Passed", "Failed")</f>
        <v/>
      </c>
      <c r="F32" s="7">
        <f>IF(COUNTIF(F$3:F$21,$B32&amp;" "&amp;$A32)&gt;=Description!F10,"Passed", "Failed")</f>
        <v/>
      </c>
      <c r="G32" s="7">
        <f>IF(COUNTIF(G$3:G$21,$B32&amp;" "&amp;$A32)&gt;=Description!G10,"Passed", "Failed")</f>
        <v/>
      </c>
      <c r="H32" s="7">
        <f>IF(COUNTIF(H$3:H$21,$B32&amp;" "&amp;$A32)&gt;=Description!H10,"Passed", "Failed")</f>
        <v/>
      </c>
      <c r="I32" s="7">
        <f>IF(COUNTIF(I$3:I$21,$B32&amp;" "&amp;$A32)&gt;=Description!I10,"Passed", "Failed")</f>
        <v/>
      </c>
      <c r="J32" s="7">
        <f>IF(COUNTIF(J$3:J$21,$B32&amp;" "&amp;$A32)&gt;=Description!J10,"Passed", "Failed")</f>
        <v/>
      </c>
      <c r="K32" s="7">
        <f>IF(COUNTIF(K$3:K$21,$B32&amp;" "&amp;$A32)&gt;=Description!K10,"Passed", "Failed")</f>
        <v/>
      </c>
      <c r="L32" s="7">
        <f>IF(COUNTIF(L$3:L$21,$B32&amp;" "&amp;$A32)&gt;=Description!L10,"Passed", "Failed")</f>
        <v/>
      </c>
      <c r="M32" s="7">
        <f>IF(COUNTIF(M$3:M$21,$B32&amp;" "&amp;$A32)&gt;=Description!M10,"Passed", "Failed")</f>
        <v/>
      </c>
      <c r="N32" s="7">
        <f>IF(COUNTIF(N$3:N$21,$B32&amp;" "&amp;$A32)&gt;=Description!N10,"Passed", "Failed")</f>
        <v/>
      </c>
      <c r="O32" s="7">
        <f>IF(COUNTIF(O$3:O$21,$B32&amp;" "&amp;$A32)&gt;=Description!O10,"Passed", "Failed")</f>
        <v/>
      </c>
      <c r="P32" s="7">
        <f>IF(COUNTIF(P$3:P$21,$B32&amp;" "&amp;$A32)&gt;=Description!P10,"Passed", "Failed")</f>
        <v/>
      </c>
      <c r="Q32" s="7">
        <f>IF(COUNTIF(Q$3:Q$21,$B32&amp;" "&amp;$A32)&gt;=Description!Q10,"Passed", "Failed")</f>
        <v/>
      </c>
      <c r="R32" s="7">
        <f>IF(COUNTIF(R$3:R$21,$B32&amp;" "&amp;$A32)&gt;=Description!R10,"Passed", "Failed")</f>
        <v/>
      </c>
      <c r="S32" s="7">
        <f>IF(COUNTIF(S$3:S$21,$B32&amp;" "&amp;$A32)&gt;=Description!S10,"Passed", "Failed")</f>
        <v/>
      </c>
      <c r="T32" s="7">
        <f>IF(COUNTIF(T$3:T$21,$B32&amp;" "&amp;$A32)&gt;=Description!T10,"Passed", "Failed")</f>
        <v/>
      </c>
      <c r="U32" s="7">
        <f>IF(COUNTIF(U$3:U$21,$B32&amp;" "&amp;$A32)&gt;=Description!U10,"Passed", "Failed")</f>
        <v/>
      </c>
      <c r="V32" s="7">
        <f>IF(COUNTIF(V$3:V$21,$B32&amp;" "&amp;$A32)&gt;=Description!V10,"Passed", "Failed")</f>
        <v/>
      </c>
      <c r="W32" s="7">
        <f>IF(COUNTIF(W$3:W$21,$B32&amp;" "&amp;$A32)&gt;=Description!W10,"Passed", "Failed")</f>
        <v/>
      </c>
      <c r="X32" s="7">
        <f>IF(COUNTIF(X$3:X$21,$B32&amp;" "&amp;$A32)&gt;=Description!X10,"Passed", "Failed")</f>
        <v/>
      </c>
      <c r="Y32" s="7">
        <f>IF(COUNTIF(Y$3:Y$21,$B32&amp;" "&amp;$A32)&gt;=Description!Y10,"Passed", "Failed")</f>
        <v/>
      </c>
      <c r="Z32" s="7">
        <f>IF(COUNTIF(Z$3:Z$21,$B32&amp;" "&amp;$A32)&gt;=Description!Z10,"Passed", "Failed")</f>
        <v/>
      </c>
      <c r="AA32" s="7">
        <f>IF(COUNTIF(AA$3:AA$21,$B32&amp;" "&amp;$A32)&gt;=Description!AA10,"Passed", "Failed")</f>
        <v/>
      </c>
      <c r="AB32" s="7">
        <f>IF(COUNTIF(AB$3:AB$21,$B32&amp;" "&amp;$A32)&gt;=Description!AB10,"Passed", "Failed")</f>
        <v/>
      </c>
      <c r="AC32" s="7">
        <f>IF(COUNTIF(AC$3:AC$21,$B32&amp;" "&amp;$A32)&gt;=Description!AC10,"Passed", "Failed")</f>
        <v/>
      </c>
      <c r="AD32" s="7">
        <f>IF(COUNTIF(AD$3:AD$21,$B32&amp;" "&amp;$A32)&gt;=Description!AD10,"Passed", "Failed")</f>
        <v/>
      </c>
      <c r="AE32" s="7">
        <f>IF(COUNTIF(AE$3:AE$21,$B32&amp;" "&amp;$A32)&gt;=Description!AE10,"Passed", "Failed")</f>
        <v/>
      </c>
      <c r="AF32" s="7">
        <f>IF(COUNTIF(AF$3:AF$21,$B32&amp;" "&amp;$A32)&gt;=Description!AF10,"Passed", "Failed")</f>
        <v/>
      </c>
      <c r="AG32" s="7">
        <f>IF(COUNTIF(AG$3:AG$21,$B32&amp;" "&amp;$A32)&gt;=Description!AG10,"Passed", "Failed")</f>
        <v/>
      </c>
    </row>
    <row r="33">
      <c r="A33" s="14" t="inlineStr">
        <is>
          <t>Vehicles</t>
        </is>
      </c>
      <c r="B33" s="10" t="inlineStr">
        <is>
          <t>N</t>
        </is>
      </c>
      <c r="C33" s="7">
        <f>IF(COUNTIF(C$3:C$21,$B33&amp;" "&amp;$A33)&gt;=Description!C11,"Passed", "Failed")</f>
        <v/>
      </c>
      <c r="D33" s="7">
        <f>IF(COUNTIF(D$3:D$21,$B33&amp;" "&amp;$A33)&gt;=Description!D11,"Passed", "Failed")</f>
        <v/>
      </c>
      <c r="E33" s="7">
        <f>IF(COUNTIF(E$3:E$21,$B33&amp;" "&amp;$A33)&gt;=Description!E11,"Passed", "Failed")</f>
        <v/>
      </c>
      <c r="F33" s="7">
        <f>IF(COUNTIF(F$3:F$21,$B33&amp;" "&amp;$A33)&gt;=Description!F11,"Passed", "Failed")</f>
        <v/>
      </c>
      <c r="G33" s="7">
        <f>IF(COUNTIF(G$3:G$21,$B33&amp;" "&amp;$A33)&gt;=Description!G11,"Passed", "Failed")</f>
        <v/>
      </c>
      <c r="H33" s="7">
        <f>IF(COUNTIF(H$3:H$21,$B33&amp;" "&amp;$A33)&gt;=Description!H11,"Passed", "Failed")</f>
        <v/>
      </c>
      <c r="I33" s="7">
        <f>IF(COUNTIF(I$3:I$21,$B33&amp;" "&amp;$A33)&gt;=Description!I11,"Passed", "Failed")</f>
        <v/>
      </c>
      <c r="J33" s="7">
        <f>IF(COUNTIF(J$3:J$21,$B33&amp;" "&amp;$A33)&gt;=Description!J11,"Passed", "Failed")</f>
        <v/>
      </c>
      <c r="K33" s="7">
        <f>IF(COUNTIF(K$3:K$21,$B33&amp;" "&amp;$A33)&gt;=Description!K11,"Passed", "Failed")</f>
        <v/>
      </c>
      <c r="L33" s="7">
        <f>IF(COUNTIF(L$3:L$21,$B33&amp;" "&amp;$A33)&gt;=Description!L11,"Passed", "Failed")</f>
        <v/>
      </c>
      <c r="M33" s="7">
        <f>IF(COUNTIF(M$3:M$21,$B33&amp;" "&amp;$A33)&gt;=Description!M11,"Passed", "Failed")</f>
        <v/>
      </c>
      <c r="N33" s="7">
        <f>IF(COUNTIF(N$3:N$21,$B33&amp;" "&amp;$A33)&gt;=Description!N11,"Passed", "Failed")</f>
        <v/>
      </c>
      <c r="O33" s="7">
        <f>IF(COUNTIF(O$3:O$21,$B33&amp;" "&amp;$A33)&gt;=Description!O11,"Passed", "Failed")</f>
        <v/>
      </c>
      <c r="P33" s="7">
        <f>IF(COUNTIF(P$3:P$21,$B33&amp;" "&amp;$A33)&gt;=Description!P11,"Passed", "Failed")</f>
        <v/>
      </c>
      <c r="Q33" s="7">
        <f>IF(COUNTIF(Q$3:Q$21,$B33&amp;" "&amp;$A33)&gt;=Description!Q11,"Passed", "Failed")</f>
        <v/>
      </c>
      <c r="R33" s="7">
        <f>IF(COUNTIF(R$3:R$21,$B33&amp;" "&amp;$A33)&gt;=Description!R11,"Passed", "Failed")</f>
        <v/>
      </c>
      <c r="S33" s="7">
        <f>IF(COUNTIF(S$3:S$21,$B33&amp;" "&amp;$A33)&gt;=Description!S11,"Passed", "Failed")</f>
        <v/>
      </c>
      <c r="T33" s="7">
        <f>IF(COUNTIF(T$3:T$21,$B33&amp;" "&amp;$A33)&gt;=Description!T11,"Passed", "Failed")</f>
        <v/>
      </c>
      <c r="U33" s="7">
        <f>IF(COUNTIF(U$3:U$21,$B33&amp;" "&amp;$A33)&gt;=Description!U11,"Passed", "Failed")</f>
        <v/>
      </c>
      <c r="V33" s="7">
        <f>IF(COUNTIF(V$3:V$21,$B33&amp;" "&amp;$A33)&gt;=Description!V11,"Passed", "Failed")</f>
        <v/>
      </c>
      <c r="W33" s="7">
        <f>IF(COUNTIF(W$3:W$21,$B33&amp;" "&amp;$A33)&gt;=Description!W11,"Passed", "Failed")</f>
        <v/>
      </c>
      <c r="X33" s="7">
        <f>IF(COUNTIF(X$3:X$21,$B33&amp;" "&amp;$A33)&gt;=Description!X11,"Passed", "Failed")</f>
        <v/>
      </c>
      <c r="Y33" s="7">
        <f>IF(COUNTIF(Y$3:Y$21,$B33&amp;" "&amp;$A33)&gt;=Description!Y11,"Passed", "Failed")</f>
        <v/>
      </c>
      <c r="Z33" s="7">
        <f>IF(COUNTIF(Z$3:Z$21,$B33&amp;" "&amp;$A33)&gt;=Description!Z11,"Passed", "Failed")</f>
        <v/>
      </c>
      <c r="AA33" s="7">
        <f>IF(COUNTIF(AA$3:AA$21,$B33&amp;" "&amp;$A33)&gt;=Description!AA11,"Passed", "Failed")</f>
        <v/>
      </c>
      <c r="AB33" s="7">
        <f>IF(COUNTIF(AB$3:AB$21,$B33&amp;" "&amp;$A33)&gt;=Description!AB11,"Passed", "Failed")</f>
        <v/>
      </c>
      <c r="AC33" s="7">
        <f>IF(COUNTIF(AC$3:AC$21,$B33&amp;" "&amp;$A33)&gt;=Description!AC11,"Passed", "Failed")</f>
        <v/>
      </c>
      <c r="AD33" s="7">
        <f>IF(COUNTIF(AD$3:AD$21,$B33&amp;" "&amp;$A33)&gt;=Description!AD11,"Passed", "Failed")</f>
        <v/>
      </c>
      <c r="AE33" s="7">
        <f>IF(COUNTIF(AE$3:AE$21,$B33&amp;" "&amp;$A33)&gt;=Description!AE11,"Passed", "Failed")</f>
        <v/>
      </c>
      <c r="AF33" s="7">
        <f>IF(COUNTIF(AF$3:AF$21,$B33&amp;" "&amp;$A33)&gt;=Description!AF11,"Passed", "Failed")</f>
        <v/>
      </c>
      <c r="AG33" s="7">
        <f>IF(COUNTIF(AG$3:AG$21,$B33&amp;" "&amp;$A33)&gt;=Description!AG11,"Passed", "Failed")</f>
        <v/>
      </c>
    </row>
    <row r="34">
      <c r="A34" s="12" t="inlineStr">
        <is>
          <t>Train</t>
        </is>
      </c>
      <c r="B34" s="6" t="inlineStr">
        <is>
          <t>M</t>
        </is>
      </c>
      <c r="C34" s="7">
        <f>IF(COUNTIF(C$3:C$21,$B34&amp;" "&amp;$A34)&gt;=Description!C12,"Passed", "Failed")</f>
        <v/>
      </c>
      <c r="D34" s="7">
        <f>IF(COUNTIF(D$3:D$21,$B34&amp;" "&amp;$A34)&gt;=Description!D12,"Passed", "Failed")</f>
        <v/>
      </c>
      <c r="E34" s="7">
        <f>IF(COUNTIF(E$3:E$21,$B34&amp;" "&amp;$A34)&gt;=Description!E12,"Passed", "Failed")</f>
        <v/>
      </c>
      <c r="F34" s="7">
        <f>IF(COUNTIF(F$3:F$21,$B34&amp;" "&amp;$A34)&gt;=Description!F12,"Passed", "Failed")</f>
        <v/>
      </c>
      <c r="G34" s="7">
        <f>IF(COUNTIF(G$3:G$21,$B34&amp;" "&amp;$A34)&gt;=Description!G12,"Passed", "Failed")</f>
        <v/>
      </c>
      <c r="H34" s="7">
        <f>IF(COUNTIF(H$3:H$21,$B34&amp;" "&amp;$A34)&gt;=Description!H12,"Passed", "Failed")</f>
        <v/>
      </c>
      <c r="I34" s="7">
        <f>IF(COUNTIF(I$3:I$21,$B34&amp;" "&amp;$A34)&gt;=Description!I12,"Passed", "Failed")</f>
        <v/>
      </c>
      <c r="J34" s="7">
        <f>IF(COUNTIF(J$3:J$21,$B34&amp;" "&amp;$A34)&gt;=Description!J12,"Passed", "Failed")</f>
        <v/>
      </c>
      <c r="K34" s="7">
        <f>IF(COUNTIF(K$3:K$21,$B34&amp;" "&amp;$A34)&gt;=Description!K12,"Passed", "Failed")</f>
        <v/>
      </c>
      <c r="L34" s="7">
        <f>IF(COUNTIF(L$3:L$21,$B34&amp;" "&amp;$A34)&gt;=Description!L12,"Passed", "Failed")</f>
        <v/>
      </c>
      <c r="M34" s="7">
        <f>IF(COUNTIF(M$3:M$21,$B34&amp;" "&amp;$A34)&gt;=Description!M12,"Passed", "Failed")</f>
        <v/>
      </c>
      <c r="N34" s="7">
        <f>IF(COUNTIF(N$3:N$21,$B34&amp;" "&amp;$A34)&gt;=Description!N12,"Passed", "Failed")</f>
        <v/>
      </c>
      <c r="O34" s="7">
        <f>IF(COUNTIF(O$3:O$21,$B34&amp;" "&amp;$A34)&gt;=Description!O12,"Passed", "Failed")</f>
        <v/>
      </c>
      <c r="P34" s="7">
        <f>IF(COUNTIF(P$3:P$21,$B34&amp;" "&amp;$A34)&gt;=Description!P12,"Passed", "Failed")</f>
        <v/>
      </c>
      <c r="Q34" s="7">
        <f>IF(COUNTIF(Q$3:Q$21,$B34&amp;" "&amp;$A34)&gt;=Description!Q12,"Passed", "Failed")</f>
        <v/>
      </c>
      <c r="R34" s="7">
        <f>IF(COUNTIF(R$3:R$21,$B34&amp;" "&amp;$A34)&gt;=Description!R12,"Passed", "Failed")</f>
        <v/>
      </c>
      <c r="S34" s="7">
        <f>IF(COUNTIF(S$3:S$21,$B34&amp;" "&amp;$A34)&gt;=Description!S12,"Passed", "Failed")</f>
        <v/>
      </c>
      <c r="T34" s="7">
        <f>IF(COUNTIF(T$3:T$21,$B34&amp;" "&amp;$A34)&gt;=Description!T12,"Passed", "Failed")</f>
        <v/>
      </c>
      <c r="U34" s="7">
        <f>IF(COUNTIF(U$3:U$21,$B34&amp;" "&amp;$A34)&gt;=Description!U12,"Passed", "Failed")</f>
        <v/>
      </c>
      <c r="V34" s="7">
        <f>IF(COUNTIF(V$3:V$21,$B34&amp;" "&amp;$A34)&gt;=Description!V12,"Passed", "Failed")</f>
        <v/>
      </c>
      <c r="W34" s="7">
        <f>IF(COUNTIF(W$3:W$21,$B34&amp;" "&amp;$A34)&gt;=Description!W12,"Passed", "Failed")</f>
        <v/>
      </c>
      <c r="X34" s="7">
        <f>IF(COUNTIF(X$3:X$21,$B34&amp;" "&amp;$A34)&gt;=Description!X12,"Passed", "Failed")</f>
        <v/>
      </c>
      <c r="Y34" s="7">
        <f>IF(COUNTIF(Y$3:Y$21,$B34&amp;" "&amp;$A34)&gt;=Description!Y12,"Passed", "Failed")</f>
        <v/>
      </c>
      <c r="Z34" s="7">
        <f>IF(COUNTIF(Z$3:Z$21,$B34&amp;" "&amp;$A34)&gt;=Description!Z12,"Passed", "Failed")</f>
        <v/>
      </c>
      <c r="AA34" s="7">
        <f>IF(COUNTIF(AA$3:AA$21,$B34&amp;" "&amp;$A34)&gt;=Description!AA12,"Passed", "Failed")</f>
        <v/>
      </c>
      <c r="AB34" s="7">
        <f>IF(COUNTIF(AB$3:AB$21,$B34&amp;" "&amp;$A34)&gt;=Description!AB12,"Passed", "Failed")</f>
        <v/>
      </c>
      <c r="AC34" s="7">
        <f>IF(COUNTIF(AC$3:AC$21,$B34&amp;" "&amp;$A34)&gt;=Description!AC12,"Passed", "Failed")</f>
        <v/>
      </c>
      <c r="AD34" s="7">
        <f>IF(COUNTIF(AD$3:AD$21,$B34&amp;" "&amp;$A34)&gt;=Description!AD12,"Passed", "Failed")</f>
        <v/>
      </c>
      <c r="AE34" s="7">
        <f>IF(COUNTIF(AE$3:AE$21,$B34&amp;" "&amp;$A34)&gt;=Description!AE12,"Passed", "Failed")</f>
        <v/>
      </c>
      <c r="AF34" s="7">
        <f>IF(COUNTIF(AF$3:AF$21,$B34&amp;" "&amp;$A34)&gt;=Description!AF12,"Passed", "Failed")</f>
        <v/>
      </c>
      <c r="AG34" s="7">
        <f>IF(COUNTIF(AG$3:AG$21,$B34&amp;" "&amp;$A34)&gt;=Description!AG12,"Passed", "Failed")</f>
        <v/>
      </c>
    </row>
    <row r="35">
      <c r="A35" s="15" t="inlineStr">
        <is>
          <t>Train</t>
        </is>
      </c>
      <c r="B35" s="6" t="inlineStr">
        <is>
          <t>A</t>
        </is>
      </c>
      <c r="C35" s="7">
        <f>IF(COUNTIF(C$3:C$21,$B35&amp;" "&amp;$A35)&gt;=Description!C13,"Passed", "Failed")</f>
        <v/>
      </c>
      <c r="D35" s="7">
        <f>IF(COUNTIF(D$3:D$21,$B35&amp;" "&amp;$A35)&gt;=Description!D13,"Passed", "Failed")</f>
        <v/>
      </c>
      <c r="E35" s="7">
        <f>IF(COUNTIF(E$3:E$21,$B35&amp;" "&amp;$A35)&gt;=Description!E13,"Passed", "Failed")</f>
        <v/>
      </c>
      <c r="F35" s="7">
        <f>IF(COUNTIF(F$3:F$21,$B35&amp;" "&amp;$A35)&gt;=Description!F13,"Passed", "Failed")</f>
        <v/>
      </c>
      <c r="G35" s="7">
        <f>IF(COUNTIF(G$3:G$21,$B35&amp;" "&amp;$A35)&gt;=Description!G13,"Passed", "Failed")</f>
        <v/>
      </c>
      <c r="H35" s="7">
        <f>IF(COUNTIF(H$3:H$21,$B35&amp;" "&amp;$A35)&gt;=Description!H13,"Passed", "Failed")</f>
        <v/>
      </c>
      <c r="I35" s="7">
        <f>IF(COUNTIF(I$3:I$21,$B35&amp;" "&amp;$A35)&gt;=Description!I13,"Passed", "Failed")</f>
        <v/>
      </c>
      <c r="J35" s="7">
        <f>IF(COUNTIF(J$3:J$21,$B35&amp;" "&amp;$A35)&gt;=Description!J13,"Passed", "Failed")</f>
        <v/>
      </c>
      <c r="K35" s="7">
        <f>IF(COUNTIF(K$3:K$21,$B35&amp;" "&amp;$A35)&gt;=Description!K13,"Passed", "Failed")</f>
        <v/>
      </c>
      <c r="L35" s="7">
        <f>IF(COUNTIF(L$3:L$21,$B35&amp;" "&amp;$A35)&gt;=Description!L13,"Passed", "Failed")</f>
        <v/>
      </c>
      <c r="M35" s="7">
        <f>IF(COUNTIF(M$3:M$21,$B35&amp;" "&amp;$A35)&gt;=Description!M13,"Passed", "Failed")</f>
        <v/>
      </c>
      <c r="N35" s="7">
        <f>IF(COUNTIF(N$3:N$21,$B35&amp;" "&amp;$A35)&gt;=Description!N13,"Passed", "Failed")</f>
        <v/>
      </c>
      <c r="O35" s="7">
        <f>IF(COUNTIF(O$3:O$21,$B35&amp;" "&amp;$A35)&gt;=Description!O13,"Passed", "Failed")</f>
        <v/>
      </c>
      <c r="P35" s="7">
        <f>IF(COUNTIF(P$3:P$21,$B35&amp;" "&amp;$A35)&gt;=Description!P13,"Passed", "Failed")</f>
        <v/>
      </c>
      <c r="Q35" s="7">
        <f>IF(COUNTIF(Q$3:Q$21,$B35&amp;" "&amp;$A35)&gt;=Description!Q13,"Passed", "Failed")</f>
        <v/>
      </c>
      <c r="R35" s="7">
        <f>IF(COUNTIF(R$3:R$21,$B35&amp;" "&amp;$A35)&gt;=Description!R13,"Passed", "Failed")</f>
        <v/>
      </c>
      <c r="S35" s="7">
        <f>IF(COUNTIF(S$3:S$21,$B35&amp;" "&amp;$A35)&gt;=Description!S13,"Passed", "Failed")</f>
        <v/>
      </c>
      <c r="T35" s="7">
        <f>IF(COUNTIF(T$3:T$21,$B35&amp;" "&amp;$A35)&gt;=Description!T13,"Passed", "Failed")</f>
        <v/>
      </c>
      <c r="U35" s="7">
        <f>IF(COUNTIF(U$3:U$21,$B35&amp;" "&amp;$A35)&gt;=Description!U13,"Passed", "Failed")</f>
        <v/>
      </c>
      <c r="V35" s="7">
        <f>IF(COUNTIF(V$3:V$21,$B35&amp;" "&amp;$A35)&gt;=Description!V13,"Passed", "Failed")</f>
        <v/>
      </c>
      <c r="W35" s="7">
        <f>IF(COUNTIF(W$3:W$21,$B35&amp;" "&amp;$A35)&gt;=Description!W13,"Passed", "Failed")</f>
        <v/>
      </c>
      <c r="X35" s="7">
        <f>IF(COUNTIF(X$3:X$21,$B35&amp;" "&amp;$A35)&gt;=Description!X13,"Passed", "Failed")</f>
        <v/>
      </c>
      <c r="Y35" s="7">
        <f>IF(COUNTIF(Y$3:Y$21,$B35&amp;" "&amp;$A35)&gt;=Description!Y13,"Passed", "Failed")</f>
        <v/>
      </c>
      <c r="Z35" s="7">
        <f>IF(COUNTIF(Z$3:Z$21,$B35&amp;" "&amp;$A35)&gt;=Description!Z13,"Passed", "Failed")</f>
        <v/>
      </c>
      <c r="AA35" s="7">
        <f>IF(COUNTIF(AA$3:AA$21,$B35&amp;" "&amp;$A35)&gt;=Description!AA13,"Passed", "Failed")</f>
        <v/>
      </c>
      <c r="AB35" s="7">
        <f>IF(COUNTIF(AB$3:AB$21,$B35&amp;" "&amp;$A35)&gt;=Description!AB13,"Passed", "Failed")</f>
        <v/>
      </c>
      <c r="AC35" s="7">
        <f>IF(COUNTIF(AC$3:AC$21,$B35&amp;" "&amp;$A35)&gt;=Description!AC13,"Passed", "Failed")</f>
        <v/>
      </c>
      <c r="AD35" s="7">
        <f>IF(COUNTIF(AD$3:AD$21,$B35&amp;" "&amp;$A35)&gt;=Description!AD13,"Passed", "Failed")</f>
        <v/>
      </c>
      <c r="AE35" s="7">
        <f>IF(COUNTIF(AE$3:AE$21,$B35&amp;" "&amp;$A35)&gt;=Description!AE13,"Passed", "Failed")</f>
        <v/>
      </c>
      <c r="AF35" s="7">
        <f>IF(COUNTIF(AF$3:AF$21,$B35&amp;" "&amp;$A35)&gt;=Description!AF13,"Passed", "Failed")</f>
        <v/>
      </c>
      <c r="AG35" s="7">
        <f>IF(COUNTIF(AG$3:AG$21,$B35&amp;" "&amp;$A35)&gt;=Description!AG13,"Passed", "Failed")</f>
        <v/>
      </c>
    </row>
    <row r="36">
      <c r="A36" s="16" t="inlineStr">
        <is>
          <t>Train</t>
        </is>
      </c>
      <c r="B36" s="10" t="inlineStr">
        <is>
          <t>N</t>
        </is>
      </c>
      <c r="C36" s="7">
        <f>IF(COUNTIF(C$3:C$21,$B36&amp;" "&amp;$A36)&gt;=Description!C14,"Passed", "Failed")</f>
        <v/>
      </c>
      <c r="D36" s="7">
        <f>IF(COUNTIF(D$3:D$21,$B36&amp;" "&amp;$A36)&gt;=Description!D14,"Passed", "Failed")</f>
        <v/>
      </c>
      <c r="E36" s="7">
        <f>IF(COUNTIF(E$3:E$21,$B36&amp;" "&amp;$A36)&gt;=Description!E14,"Passed", "Failed")</f>
        <v/>
      </c>
      <c r="F36" s="7">
        <f>IF(COUNTIF(F$3:F$21,$B36&amp;" "&amp;$A36)&gt;=Description!F14,"Passed", "Failed")</f>
        <v/>
      </c>
      <c r="G36" s="7">
        <f>IF(COUNTIF(G$3:G$21,$B36&amp;" "&amp;$A36)&gt;=Description!G14,"Passed", "Failed")</f>
        <v/>
      </c>
      <c r="H36" s="7">
        <f>IF(COUNTIF(H$3:H$21,$B36&amp;" "&amp;$A36)&gt;=Description!H14,"Passed", "Failed")</f>
        <v/>
      </c>
      <c r="I36" s="7">
        <f>IF(COUNTIF(I$3:I$21,$B36&amp;" "&amp;$A36)&gt;=Description!I14,"Passed", "Failed")</f>
        <v/>
      </c>
      <c r="J36" s="7">
        <f>IF(COUNTIF(J$3:J$21,$B36&amp;" "&amp;$A36)&gt;=Description!J14,"Passed", "Failed")</f>
        <v/>
      </c>
      <c r="K36" s="7">
        <f>IF(COUNTIF(K$3:K$21,$B36&amp;" "&amp;$A36)&gt;=Description!K14,"Passed", "Failed")</f>
        <v/>
      </c>
      <c r="L36" s="7">
        <f>IF(COUNTIF(L$3:L$21,$B36&amp;" "&amp;$A36)&gt;=Description!L14,"Passed", "Failed")</f>
        <v/>
      </c>
      <c r="M36" s="7">
        <f>IF(COUNTIF(M$3:M$21,$B36&amp;" "&amp;$A36)&gt;=Description!M14,"Passed", "Failed")</f>
        <v/>
      </c>
      <c r="N36" s="7">
        <f>IF(COUNTIF(N$3:N$21,$B36&amp;" "&amp;$A36)&gt;=Description!N14,"Passed", "Failed")</f>
        <v/>
      </c>
      <c r="O36" s="7">
        <f>IF(COUNTIF(O$3:O$21,$B36&amp;" "&amp;$A36)&gt;=Description!O14,"Passed", "Failed")</f>
        <v/>
      </c>
      <c r="P36" s="7">
        <f>IF(COUNTIF(P$3:P$21,$B36&amp;" "&amp;$A36)&gt;=Description!P14,"Passed", "Failed")</f>
        <v/>
      </c>
      <c r="Q36" s="7">
        <f>IF(COUNTIF(Q$3:Q$21,$B36&amp;" "&amp;$A36)&gt;=Description!Q14,"Passed", "Failed")</f>
        <v/>
      </c>
      <c r="R36" s="7">
        <f>IF(COUNTIF(R$3:R$21,$B36&amp;" "&amp;$A36)&gt;=Description!R14,"Passed", "Failed")</f>
        <v/>
      </c>
      <c r="S36" s="7">
        <f>IF(COUNTIF(S$3:S$21,$B36&amp;" "&amp;$A36)&gt;=Description!S14,"Passed", "Failed")</f>
        <v/>
      </c>
      <c r="T36" s="7">
        <f>IF(COUNTIF(T$3:T$21,$B36&amp;" "&amp;$A36)&gt;=Description!T14,"Passed", "Failed")</f>
        <v/>
      </c>
      <c r="U36" s="7">
        <f>IF(COUNTIF(U$3:U$21,$B36&amp;" "&amp;$A36)&gt;=Description!U14,"Passed", "Failed")</f>
        <v/>
      </c>
      <c r="V36" s="7">
        <f>IF(COUNTIF(V$3:V$21,$B36&amp;" "&amp;$A36)&gt;=Description!V14,"Passed", "Failed")</f>
        <v/>
      </c>
      <c r="W36" s="7">
        <f>IF(COUNTIF(W$3:W$21,$B36&amp;" "&amp;$A36)&gt;=Description!W14,"Passed", "Failed")</f>
        <v/>
      </c>
      <c r="X36" s="7">
        <f>IF(COUNTIF(X$3:X$21,$B36&amp;" "&amp;$A36)&gt;=Description!X14,"Passed", "Failed")</f>
        <v/>
      </c>
      <c r="Y36" s="7">
        <f>IF(COUNTIF(Y$3:Y$21,$B36&amp;" "&amp;$A36)&gt;=Description!Y14,"Passed", "Failed")</f>
        <v/>
      </c>
      <c r="Z36" s="7">
        <f>IF(COUNTIF(Z$3:Z$21,$B36&amp;" "&amp;$A36)&gt;=Description!Z14,"Passed", "Failed")</f>
        <v/>
      </c>
      <c r="AA36" s="7">
        <f>IF(COUNTIF(AA$3:AA$21,$B36&amp;" "&amp;$A36)&gt;=Description!AA14,"Passed", "Failed")</f>
        <v/>
      </c>
      <c r="AB36" s="7">
        <f>IF(COUNTIF(AB$3:AB$21,$B36&amp;" "&amp;$A36)&gt;=Description!AB14,"Passed", "Failed")</f>
        <v/>
      </c>
      <c r="AC36" s="7">
        <f>IF(COUNTIF(AC$3:AC$21,$B36&amp;" "&amp;$A36)&gt;=Description!AC14,"Passed", "Failed")</f>
        <v/>
      </c>
      <c r="AD36" s="7">
        <f>IF(COUNTIF(AD$3:AD$21,$B36&amp;" "&amp;$A36)&gt;=Description!AD14,"Passed", "Failed")</f>
        <v/>
      </c>
      <c r="AE36" s="7">
        <f>IF(COUNTIF(AE$3:AE$21,$B36&amp;" "&amp;$A36)&gt;=Description!AE14,"Passed", "Failed")</f>
        <v/>
      </c>
      <c r="AF36" s="7">
        <f>IF(COUNTIF(AF$3:AF$21,$B36&amp;" "&amp;$A36)&gt;=Description!AF14,"Passed", "Failed")</f>
        <v/>
      </c>
      <c r="AG36" s="7">
        <f>IF(COUNTIF(AG$3:AG$21,$B36&amp;" "&amp;$A36)&gt;=Description!AG14,"Passed", "Failed")</f>
        <v/>
      </c>
    </row>
    <row r="38">
      <c r="A38" s="1" t="inlineStr">
        <is>
          <t>Staff Statistics</t>
        </is>
      </c>
    </row>
    <row r="39">
      <c r="A39" s="25" t="inlineStr">
        <is>
          <t>Staff 1</t>
        </is>
      </c>
      <c r="B39" s="26">
        <f t="array" ref="B39">IFERROR(IF(ROUNDUP(SUMPRODUCT(1/COUNTIF(C39:AG39,C39:AG39)),0)&lt;=2, "Passed", "Failed"),"Failed")</f>
        <v/>
      </c>
      <c r="C39" s="7">
        <f>IF(LEN(C3)=1,"",RIGHT(C3,LEN(C3)-2))</f>
        <v/>
      </c>
      <c r="D39" s="7">
        <f>IF(LEN(D3)=1,"",RIGHT(D3,LEN(D3)-2))</f>
        <v/>
      </c>
      <c r="E39" s="7">
        <f>IF(LEN(E3)=1,"",RIGHT(E3,LEN(E3)-2))</f>
        <v/>
      </c>
      <c r="F39" s="7">
        <f>IF(LEN(F3)=1,"",RIGHT(F3,LEN(F3)-2))</f>
        <v/>
      </c>
      <c r="G39" s="7">
        <f>IF(LEN(G3)=1,"",RIGHT(G3,LEN(G3)-2))</f>
        <v/>
      </c>
      <c r="H39" s="7">
        <f>IF(LEN(H3)=1,"",RIGHT(H3,LEN(H3)-2))</f>
        <v/>
      </c>
      <c r="I39" s="7">
        <f>IF(LEN(I3)=1,"",RIGHT(I3,LEN(I3)-2))</f>
        <v/>
      </c>
      <c r="J39" s="7">
        <f>IF(LEN(J3)=1,"",RIGHT(J3,LEN(J3)-2))</f>
        <v/>
      </c>
      <c r="K39" s="7">
        <f>IF(LEN(K3)=1,"",RIGHT(K3,LEN(K3)-2))</f>
        <v/>
      </c>
      <c r="L39" s="7">
        <f>IF(LEN(L3)=1,"",RIGHT(L3,LEN(L3)-2))</f>
        <v/>
      </c>
      <c r="M39" s="7">
        <f>IF(LEN(M3)=1,"",RIGHT(M3,LEN(M3)-2))</f>
        <v/>
      </c>
      <c r="N39" s="7">
        <f>IF(LEN(N3)=1,"",RIGHT(N3,LEN(N3)-2))</f>
        <v/>
      </c>
      <c r="O39" s="7">
        <f>IF(LEN(O3)=1,"",RIGHT(O3,LEN(O3)-2))</f>
        <v/>
      </c>
      <c r="P39" s="7">
        <f>IF(LEN(P3)=1,"",RIGHT(P3,LEN(P3)-2))</f>
        <v/>
      </c>
      <c r="Q39" s="7">
        <f>IF(LEN(Q3)=1,"",RIGHT(Q3,LEN(Q3)-2))</f>
        <v/>
      </c>
      <c r="R39" s="7">
        <f>IF(LEN(R3)=1,"",RIGHT(R3,LEN(R3)-2))</f>
        <v/>
      </c>
      <c r="S39" s="7">
        <f>IF(LEN(S3)=1,"",RIGHT(S3,LEN(S3)-2))</f>
        <v/>
      </c>
      <c r="T39" s="7">
        <f>IF(LEN(T3)=1,"",RIGHT(T3,LEN(T3)-2))</f>
        <v/>
      </c>
      <c r="U39" s="7">
        <f>IF(LEN(U3)=1,"",RIGHT(U3,LEN(U3)-2))</f>
        <v/>
      </c>
      <c r="V39" s="7">
        <f>IF(LEN(V3)=1,"",RIGHT(V3,LEN(V3)-2))</f>
        <v/>
      </c>
      <c r="W39" s="7">
        <f>IF(LEN(W3)=1,"",RIGHT(W3,LEN(W3)-2))</f>
        <v/>
      </c>
      <c r="X39" s="7">
        <f>IF(LEN(X3)=1,"",RIGHT(X3,LEN(X3)-2))</f>
        <v/>
      </c>
      <c r="Y39" s="7">
        <f>IF(LEN(Y3)=1,"",RIGHT(Y3,LEN(Y3)-2))</f>
        <v/>
      </c>
      <c r="Z39" s="7">
        <f>IF(LEN(Z3)=1,"",RIGHT(Z3,LEN(Z3)-2))</f>
        <v/>
      </c>
      <c r="AA39" s="7">
        <f>IF(LEN(AA3)=1,"",RIGHT(AA3,LEN(AA3)-2))</f>
        <v/>
      </c>
      <c r="AB39" s="7">
        <f>IF(LEN(AB3)=1,"",RIGHT(AB3,LEN(AB3)-2))</f>
        <v/>
      </c>
      <c r="AC39" s="7">
        <f>IF(LEN(AC3)=1,"",RIGHT(AC3,LEN(AC3)-2))</f>
        <v/>
      </c>
      <c r="AD39" s="7">
        <f>IF(LEN(AD3)=1,"",RIGHT(AD3,LEN(AD3)-2))</f>
        <v/>
      </c>
      <c r="AE39" s="7">
        <f>IF(LEN(AE3)=1,"",RIGHT(AE3,LEN(AE3)-2))</f>
        <v/>
      </c>
      <c r="AF39" s="7">
        <f>IF(LEN(AF3)=1,"",RIGHT(AF3,LEN(AF3)-2))</f>
        <v/>
      </c>
      <c r="AG39" s="7">
        <f>IF(LEN(AG3)=1,"",RIGHT(AG3,LEN(AG3)-2))</f>
        <v/>
      </c>
    </row>
    <row r="40">
      <c r="A40" s="22" t="inlineStr">
        <is>
          <t>Staff 2</t>
        </is>
      </c>
      <c r="B40" s="26">
        <f t="array" ref="B40">IFERROR(IF(ROUNDUP(SUMPRODUCT(1/COUNTIF(C40:AG40,C40:AG40)),0)&lt;=2, "Passed", "Failed"),"Failed")</f>
        <v/>
      </c>
      <c r="C40" s="7">
        <f>IF(LEN(C4)=1,"",RIGHT(C4,LEN(C4)-2))</f>
        <v/>
      </c>
      <c r="D40" s="7">
        <f>IF(LEN(D4)=1,"",RIGHT(D4,LEN(D4)-2))</f>
        <v/>
      </c>
      <c r="E40" s="7">
        <f>IF(LEN(E4)=1,"",RIGHT(E4,LEN(E4)-2))</f>
        <v/>
      </c>
      <c r="F40" s="7">
        <f>IF(LEN(F4)=1,"",RIGHT(F4,LEN(F4)-2))</f>
        <v/>
      </c>
      <c r="G40" s="7">
        <f>IF(LEN(G4)=1,"",RIGHT(G4,LEN(G4)-2))</f>
        <v/>
      </c>
      <c r="H40" s="7">
        <f>IF(LEN(H4)=1,"",RIGHT(H4,LEN(H4)-2))</f>
        <v/>
      </c>
      <c r="I40" s="7">
        <f>IF(LEN(I4)=1,"",RIGHT(I4,LEN(I4)-2))</f>
        <v/>
      </c>
      <c r="J40" s="7">
        <f>IF(LEN(J4)=1,"",RIGHT(J4,LEN(J4)-2))</f>
        <v/>
      </c>
      <c r="K40" s="7">
        <f>IF(LEN(K4)=1,"",RIGHT(K4,LEN(K4)-2))</f>
        <v/>
      </c>
      <c r="L40" s="7">
        <f>IF(LEN(L4)=1,"",RIGHT(L4,LEN(L4)-2))</f>
        <v/>
      </c>
      <c r="M40" s="7">
        <f>IF(LEN(M4)=1,"",RIGHT(M4,LEN(M4)-2))</f>
        <v/>
      </c>
      <c r="N40" s="7">
        <f>IF(LEN(N4)=1,"",RIGHT(N4,LEN(N4)-2))</f>
        <v/>
      </c>
      <c r="O40" s="7">
        <f>IF(LEN(O4)=1,"",RIGHT(O4,LEN(O4)-2))</f>
        <v/>
      </c>
      <c r="P40" s="7">
        <f>IF(LEN(P4)=1,"",RIGHT(P4,LEN(P4)-2))</f>
        <v/>
      </c>
      <c r="Q40" s="7">
        <f>IF(LEN(Q4)=1,"",RIGHT(Q4,LEN(Q4)-2))</f>
        <v/>
      </c>
      <c r="R40" s="7">
        <f>IF(LEN(R4)=1,"",RIGHT(R4,LEN(R4)-2))</f>
        <v/>
      </c>
      <c r="S40" s="7">
        <f>IF(LEN(S4)=1,"",RIGHT(S4,LEN(S4)-2))</f>
        <v/>
      </c>
      <c r="T40" s="7">
        <f>IF(LEN(T4)=1,"",RIGHT(T4,LEN(T4)-2))</f>
        <v/>
      </c>
      <c r="U40" s="7">
        <f>IF(LEN(U4)=1,"",RIGHT(U4,LEN(U4)-2))</f>
        <v/>
      </c>
      <c r="V40" s="7">
        <f>IF(LEN(V4)=1,"",RIGHT(V4,LEN(V4)-2))</f>
        <v/>
      </c>
      <c r="W40" s="7">
        <f>IF(LEN(W4)=1,"",RIGHT(W4,LEN(W4)-2))</f>
        <v/>
      </c>
      <c r="X40" s="7">
        <f>IF(LEN(X4)=1,"",RIGHT(X4,LEN(X4)-2))</f>
        <v/>
      </c>
      <c r="Y40" s="7">
        <f>IF(LEN(Y4)=1,"",RIGHT(Y4,LEN(Y4)-2))</f>
        <v/>
      </c>
      <c r="Z40" s="7">
        <f>IF(LEN(Z4)=1,"",RIGHT(Z4,LEN(Z4)-2))</f>
        <v/>
      </c>
      <c r="AA40" s="7">
        <f>IF(LEN(AA4)=1,"",RIGHT(AA4,LEN(AA4)-2))</f>
        <v/>
      </c>
      <c r="AB40" s="7">
        <f>IF(LEN(AB4)=1,"",RIGHT(AB4,LEN(AB4)-2))</f>
        <v/>
      </c>
      <c r="AC40" s="7">
        <f>IF(LEN(AC4)=1,"",RIGHT(AC4,LEN(AC4)-2))</f>
        <v/>
      </c>
      <c r="AD40" s="7">
        <f>IF(LEN(AD4)=1,"",RIGHT(AD4,LEN(AD4)-2))</f>
        <v/>
      </c>
      <c r="AE40" s="7">
        <f>IF(LEN(AE4)=1,"",RIGHT(AE4,LEN(AE4)-2))</f>
        <v/>
      </c>
      <c r="AF40" s="7">
        <f>IF(LEN(AF4)=1,"",RIGHT(AF4,LEN(AF4)-2))</f>
        <v/>
      </c>
      <c r="AG40" s="7">
        <f>IF(LEN(AG4)=1,"",RIGHT(AG4,LEN(AG4)-2))</f>
        <v/>
      </c>
    </row>
    <row r="41">
      <c r="A41" s="22" t="inlineStr">
        <is>
          <t>Staff 3</t>
        </is>
      </c>
      <c r="B41" s="26">
        <f t="array" ref="B41">IFERROR(IF(ROUNDUP(SUMPRODUCT(1/COUNTIF(C41:AG41,C41:AG41)),0)&lt;=2, "Passed", "Failed"),"Failed")</f>
        <v/>
      </c>
      <c r="C41" s="7">
        <f>IF(LEN(C5)=1,"",RIGHT(C5,LEN(C5)-2))</f>
        <v/>
      </c>
      <c r="D41" s="7">
        <f>IF(LEN(D5)=1,"",RIGHT(D5,LEN(D5)-2))</f>
        <v/>
      </c>
      <c r="E41" s="7">
        <f>IF(LEN(E5)=1,"",RIGHT(E5,LEN(E5)-2))</f>
        <v/>
      </c>
      <c r="F41" s="7">
        <f>IF(LEN(F5)=1,"",RIGHT(F5,LEN(F5)-2))</f>
        <v/>
      </c>
      <c r="G41" s="7">
        <f>IF(LEN(G5)=1,"",RIGHT(G5,LEN(G5)-2))</f>
        <v/>
      </c>
      <c r="H41" s="7">
        <f>IF(LEN(H5)=1,"",RIGHT(H5,LEN(H5)-2))</f>
        <v/>
      </c>
      <c r="I41" s="7">
        <f>IF(LEN(I5)=1,"",RIGHT(I5,LEN(I5)-2))</f>
        <v/>
      </c>
      <c r="J41" s="7">
        <f>IF(LEN(J5)=1,"",RIGHT(J5,LEN(J5)-2))</f>
        <v/>
      </c>
      <c r="K41" s="7">
        <f>IF(LEN(K5)=1,"",RIGHT(K5,LEN(K5)-2))</f>
        <v/>
      </c>
      <c r="L41" s="7">
        <f>IF(LEN(L5)=1,"",RIGHT(L5,LEN(L5)-2))</f>
        <v/>
      </c>
      <c r="M41" s="7">
        <f>IF(LEN(M5)=1,"",RIGHT(M5,LEN(M5)-2))</f>
        <v/>
      </c>
      <c r="N41" s="7">
        <f>IF(LEN(N5)=1,"",RIGHT(N5,LEN(N5)-2))</f>
        <v/>
      </c>
      <c r="O41" s="7">
        <f>IF(LEN(O5)=1,"",RIGHT(O5,LEN(O5)-2))</f>
        <v/>
      </c>
      <c r="P41" s="7">
        <f>IF(LEN(P5)=1,"",RIGHT(P5,LEN(P5)-2))</f>
        <v/>
      </c>
      <c r="Q41" s="7">
        <f>IF(LEN(Q5)=1,"",RIGHT(Q5,LEN(Q5)-2))</f>
        <v/>
      </c>
      <c r="R41" s="7">
        <f>IF(LEN(R5)=1,"",RIGHT(R5,LEN(R5)-2))</f>
        <v/>
      </c>
      <c r="S41" s="7">
        <f>IF(LEN(S5)=1,"",RIGHT(S5,LEN(S5)-2))</f>
        <v/>
      </c>
      <c r="T41" s="7">
        <f>IF(LEN(T5)=1,"",RIGHT(T5,LEN(T5)-2))</f>
        <v/>
      </c>
      <c r="U41" s="7">
        <f>IF(LEN(U5)=1,"",RIGHT(U5,LEN(U5)-2))</f>
        <v/>
      </c>
      <c r="V41" s="7">
        <f>IF(LEN(V5)=1,"",RIGHT(V5,LEN(V5)-2))</f>
        <v/>
      </c>
      <c r="W41" s="7">
        <f>IF(LEN(W5)=1,"",RIGHT(W5,LEN(W5)-2))</f>
        <v/>
      </c>
      <c r="X41" s="7">
        <f>IF(LEN(X5)=1,"",RIGHT(X5,LEN(X5)-2))</f>
        <v/>
      </c>
      <c r="Y41" s="7">
        <f>IF(LEN(Y5)=1,"",RIGHT(Y5,LEN(Y5)-2))</f>
        <v/>
      </c>
      <c r="Z41" s="7">
        <f>IF(LEN(Z5)=1,"",RIGHT(Z5,LEN(Z5)-2))</f>
        <v/>
      </c>
      <c r="AA41" s="7">
        <f>IF(LEN(AA5)=1,"",RIGHT(AA5,LEN(AA5)-2))</f>
        <v/>
      </c>
      <c r="AB41" s="7">
        <f>IF(LEN(AB5)=1,"",RIGHT(AB5,LEN(AB5)-2))</f>
        <v/>
      </c>
      <c r="AC41" s="7">
        <f>IF(LEN(AC5)=1,"",RIGHT(AC5,LEN(AC5)-2))</f>
        <v/>
      </c>
      <c r="AD41" s="7">
        <f>IF(LEN(AD5)=1,"",RIGHT(AD5,LEN(AD5)-2))</f>
        <v/>
      </c>
      <c r="AE41" s="7">
        <f>IF(LEN(AE5)=1,"",RIGHT(AE5,LEN(AE5)-2))</f>
        <v/>
      </c>
      <c r="AF41" s="7">
        <f>IF(LEN(AF5)=1,"",RIGHT(AF5,LEN(AF5)-2))</f>
        <v/>
      </c>
      <c r="AG41" s="7">
        <f>IF(LEN(AG5)=1,"",RIGHT(AG5,LEN(AG5)-2))</f>
        <v/>
      </c>
    </row>
    <row r="42">
      <c r="A42" s="22" t="inlineStr">
        <is>
          <t>Staff 4</t>
        </is>
      </c>
      <c r="B42" s="26">
        <f t="array" ref="B42">IFERROR(IF(ROUNDUP(SUMPRODUCT(1/COUNTIF(C42:AG42,C42:AG42)),0)&lt;=2, "Passed", "Failed"),"Failed")</f>
        <v/>
      </c>
      <c r="C42" s="7">
        <f>IF(LEN(C6)=1,"",RIGHT(C6,LEN(C6)-2))</f>
        <v/>
      </c>
      <c r="D42" s="7">
        <f>IF(LEN(D6)=1,"",RIGHT(D6,LEN(D6)-2))</f>
        <v/>
      </c>
      <c r="E42" s="7">
        <f>IF(LEN(E6)=1,"",RIGHT(E6,LEN(E6)-2))</f>
        <v/>
      </c>
      <c r="F42" s="7">
        <f>IF(LEN(F6)=1,"",RIGHT(F6,LEN(F6)-2))</f>
        <v/>
      </c>
      <c r="G42" s="7">
        <f>IF(LEN(G6)=1,"",RIGHT(G6,LEN(G6)-2))</f>
        <v/>
      </c>
      <c r="H42" s="7">
        <f>IF(LEN(H6)=1,"",RIGHT(H6,LEN(H6)-2))</f>
        <v/>
      </c>
      <c r="I42" s="7">
        <f>IF(LEN(I6)=1,"",RIGHT(I6,LEN(I6)-2))</f>
        <v/>
      </c>
      <c r="J42" s="7">
        <f>IF(LEN(J6)=1,"",RIGHT(J6,LEN(J6)-2))</f>
        <v/>
      </c>
      <c r="K42" s="7">
        <f>IF(LEN(K6)=1,"",RIGHT(K6,LEN(K6)-2))</f>
        <v/>
      </c>
      <c r="L42" s="7">
        <f>IF(LEN(L6)=1,"",RIGHT(L6,LEN(L6)-2))</f>
        <v/>
      </c>
      <c r="M42" s="7">
        <f>IF(LEN(M6)=1,"",RIGHT(M6,LEN(M6)-2))</f>
        <v/>
      </c>
      <c r="N42" s="7">
        <f>IF(LEN(N6)=1,"",RIGHT(N6,LEN(N6)-2))</f>
        <v/>
      </c>
      <c r="O42" s="7">
        <f>IF(LEN(O6)=1,"",RIGHT(O6,LEN(O6)-2))</f>
        <v/>
      </c>
      <c r="P42" s="7">
        <f>IF(LEN(P6)=1,"",RIGHT(P6,LEN(P6)-2))</f>
        <v/>
      </c>
      <c r="Q42" s="7">
        <f>IF(LEN(Q6)=1,"",RIGHT(Q6,LEN(Q6)-2))</f>
        <v/>
      </c>
      <c r="R42" s="7">
        <f>IF(LEN(R6)=1,"",RIGHT(R6,LEN(R6)-2))</f>
        <v/>
      </c>
      <c r="S42" s="7">
        <f>IF(LEN(S6)=1,"",RIGHT(S6,LEN(S6)-2))</f>
        <v/>
      </c>
      <c r="T42" s="7">
        <f>IF(LEN(T6)=1,"",RIGHT(T6,LEN(T6)-2))</f>
        <v/>
      </c>
      <c r="U42" s="7">
        <f>IF(LEN(U6)=1,"",RIGHT(U6,LEN(U6)-2))</f>
        <v/>
      </c>
      <c r="V42" s="7">
        <f>IF(LEN(V6)=1,"",RIGHT(V6,LEN(V6)-2))</f>
        <v/>
      </c>
      <c r="W42" s="7">
        <f>IF(LEN(W6)=1,"",RIGHT(W6,LEN(W6)-2))</f>
        <v/>
      </c>
      <c r="X42" s="7">
        <f>IF(LEN(X6)=1,"",RIGHT(X6,LEN(X6)-2))</f>
        <v/>
      </c>
      <c r="Y42" s="7">
        <f>IF(LEN(Y6)=1,"",RIGHT(Y6,LEN(Y6)-2))</f>
        <v/>
      </c>
      <c r="Z42" s="7">
        <f>IF(LEN(Z6)=1,"",RIGHT(Z6,LEN(Z6)-2))</f>
        <v/>
      </c>
      <c r="AA42" s="7">
        <f>IF(LEN(AA6)=1,"",RIGHT(AA6,LEN(AA6)-2))</f>
        <v/>
      </c>
      <c r="AB42" s="7">
        <f>IF(LEN(AB6)=1,"",RIGHT(AB6,LEN(AB6)-2))</f>
        <v/>
      </c>
      <c r="AC42" s="7">
        <f>IF(LEN(AC6)=1,"",RIGHT(AC6,LEN(AC6)-2))</f>
        <v/>
      </c>
      <c r="AD42" s="7">
        <f>IF(LEN(AD6)=1,"",RIGHT(AD6,LEN(AD6)-2))</f>
        <v/>
      </c>
      <c r="AE42" s="7">
        <f>IF(LEN(AE6)=1,"",RIGHT(AE6,LEN(AE6)-2))</f>
        <v/>
      </c>
      <c r="AF42" s="7">
        <f>IF(LEN(AF6)=1,"",RIGHT(AF6,LEN(AF6)-2))</f>
        <v/>
      </c>
      <c r="AG42" s="7">
        <f>IF(LEN(AG6)=1,"",RIGHT(AG6,LEN(AG6)-2))</f>
        <v/>
      </c>
    </row>
    <row r="43">
      <c r="A43" s="22" t="inlineStr">
        <is>
          <t>Staff 5</t>
        </is>
      </c>
      <c r="B43" s="26">
        <f t="array" ref="B43">IFERROR(IF(ROUNDUP(SUMPRODUCT(1/COUNTIF(C43:AG43,C43:AG43)),0)&lt;=2, "Passed", "Failed"),"Failed")</f>
        <v/>
      </c>
      <c r="C43" s="7">
        <f>IF(LEN(C7)=1,"",RIGHT(C7,LEN(C7)-2))</f>
        <v/>
      </c>
      <c r="D43" s="7">
        <f>IF(LEN(D7)=1,"",RIGHT(D7,LEN(D7)-2))</f>
        <v/>
      </c>
      <c r="E43" s="7">
        <f>IF(LEN(E7)=1,"",RIGHT(E7,LEN(E7)-2))</f>
        <v/>
      </c>
      <c r="F43" s="7">
        <f>IF(LEN(F7)=1,"",RIGHT(F7,LEN(F7)-2))</f>
        <v/>
      </c>
      <c r="G43" s="7">
        <f>IF(LEN(G7)=1,"",RIGHT(G7,LEN(G7)-2))</f>
        <v/>
      </c>
      <c r="H43" s="7">
        <f>IF(LEN(H7)=1,"",RIGHT(H7,LEN(H7)-2))</f>
        <v/>
      </c>
      <c r="I43" s="7">
        <f>IF(LEN(I7)=1,"",RIGHT(I7,LEN(I7)-2))</f>
        <v/>
      </c>
      <c r="J43" s="7">
        <f>IF(LEN(J7)=1,"",RIGHT(J7,LEN(J7)-2))</f>
        <v/>
      </c>
      <c r="K43" s="7">
        <f>IF(LEN(K7)=1,"",RIGHT(K7,LEN(K7)-2))</f>
        <v/>
      </c>
      <c r="L43" s="7">
        <f>IF(LEN(L7)=1,"",RIGHT(L7,LEN(L7)-2))</f>
        <v/>
      </c>
      <c r="M43" s="7">
        <f>IF(LEN(M7)=1,"",RIGHT(M7,LEN(M7)-2))</f>
        <v/>
      </c>
      <c r="N43" s="7">
        <f>IF(LEN(N7)=1,"",RIGHT(N7,LEN(N7)-2))</f>
        <v/>
      </c>
      <c r="O43" s="7">
        <f>IF(LEN(O7)=1,"",RIGHT(O7,LEN(O7)-2))</f>
        <v/>
      </c>
      <c r="P43" s="7">
        <f>IF(LEN(P7)=1,"",RIGHT(P7,LEN(P7)-2))</f>
        <v/>
      </c>
      <c r="Q43" s="7">
        <f>IF(LEN(Q7)=1,"",RIGHT(Q7,LEN(Q7)-2))</f>
        <v/>
      </c>
      <c r="R43" s="7">
        <f>IF(LEN(R7)=1,"",RIGHT(R7,LEN(R7)-2))</f>
        <v/>
      </c>
      <c r="S43" s="7">
        <f>IF(LEN(S7)=1,"",RIGHT(S7,LEN(S7)-2))</f>
        <v/>
      </c>
      <c r="T43" s="7">
        <f>IF(LEN(T7)=1,"",RIGHT(T7,LEN(T7)-2))</f>
        <v/>
      </c>
      <c r="U43" s="7">
        <f>IF(LEN(U7)=1,"",RIGHT(U7,LEN(U7)-2))</f>
        <v/>
      </c>
      <c r="V43" s="7">
        <f>IF(LEN(V7)=1,"",RIGHT(V7,LEN(V7)-2))</f>
        <v/>
      </c>
      <c r="W43" s="7">
        <f>IF(LEN(W7)=1,"",RIGHT(W7,LEN(W7)-2))</f>
        <v/>
      </c>
      <c r="X43" s="7">
        <f>IF(LEN(X7)=1,"",RIGHT(X7,LEN(X7)-2))</f>
        <v/>
      </c>
      <c r="Y43" s="7">
        <f>IF(LEN(Y7)=1,"",RIGHT(Y7,LEN(Y7)-2))</f>
        <v/>
      </c>
      <c r="Z43" s="7">
        <f>IF(LEN(Z7)=1,"",RIGHT(Z7,LEN(Z7)-2))</f>
        <v/>
      </c>
      <c r="AA43" s="7">
        <f>IF(LEN(AA7)=1,"",RIGHT(AA7,LEN(AA7)-2))</f>
        <v/>
      </c>
      <c r="AB43" s="7">
        <f>IF(LEN(AB7)=1,"",RIGHT(AB7,LEN(AB7)-2))</f>
        <v/>
      </c>
      <c r="AC43" s="7">
        <f>IF(LEN(AC7)=1,"",RIGHT(AC7,LEN(AC7)-2))</f>
        <v/>
      </c>
      <c r="AD43" s="7">
        <f>IF(LEN(AD7)=1,"",RIGHT(AD7,LEN(AD7)-2))</f>
        <v/>
      </c>
      <c r="AE43" s="7">
        <f>IF(LEN(AE7)=1,"",RIGHT(AE7,LEN(AE7)-2))</f>
        <v/>
      </c>
      <c r="AF43" s="7">
        <f>IF(LEN(AF7)=1,"",RIGHT(AF7,LEN(AF7)-2))</f>
        <v/>
      </c>
      <c r="AG43" s="7">
        <f>IF(LEN(AG7)=1,"",RIGHT(AG7,LEN(AG7)-2))</f>
        <v/>
      </c>
    </row>
    <row r="44">
      <c r="A44" s="22" t="inlineStr">
        <is>
          <t>Staff 6</t>
        </is>
      </c>
      <c r="B44" s="26">
        <f t="array" ref="B44">IFERROR(IF(ROUNDUP(SUMPRODUCT(1/COUNTIF(C44:AG44,C44:AG44)),0)&lt;=2, "Passed", "Failed"),"Failed")</f>
        <v/>
      </c>
      <c r="C44" s="7">
        <f>IF(LEN(C8)=1,"",RIGHT(C8,LEN(C8)-2))</f>
        <v/>
      </c>
      <c r="D44" s="7">
        <f>IF(LEN(D8)=1,"",RIGHT(D8,LEN(D8)-2))</f>
        <v/>
      </c>
      <c r="E44" s="7">
        <f>IF(LEN(E8)=1,"",RIGHT(E8,LEN(E8)-2))</f>
        <v/>
      </c>
      <c r="F44" s="7">
        <f>IF(LEN(F8)=1,"",RIGHT(F8,LEN(F8)-2))</f>
        <v/>
      </c>
      <c r="G44" s="7">
        <f>IF(LEN(G8)=1,"",RIGHT(G8,LEN(G8)-2))</f>
        <v/>
      </c>
      <c r="H44" s="7">
        <f>IF(LEN(H8)=1,"",RIGHT(H8,LEN(H8)-2))</f>
        <v/>
      </c>
      <c r="I44" s="7">
        <f>IF(LEN(I8)=1,"",RIGHT(I8,LEN(I8)-2))</f>
        <v/>
      </c>
      <c r="J44" s="7">
        <f>IF(LEN(J8)=1,"",RIGHT(J8,LEN(J8)-2))</f>
        <v/>
      </c>
      <c r="K44" s="7">
        <f>IF(LEN(K8)=1,"",RIGHT(K8,LEN(K8)-2))</f>
        <v/>
      </c>
      <c r="L44" s="7">
        <f>IF(LEN(L8)=1,"",RIGHT(L8,LEN(L8)-2))</f>
        <v/>
      </c>
      <c r="M44" s="7">
        <f>IF(LEN(M8)=1,"",RIGHT(M8,LEN(M8)-2))</f>
        <v/>
      </c>
      <c r="N44" s="7">
        <f>IF(LEN(N8)=1,"",RIGHT(N8,LEN(N8)-2))</f>
        <v/>
      </c>
      <c r="O44" s="7">
        <f>IF(LEN(O8)=1,"",RIGHT(O8,LEN(O8)-2))</f>
        <v/>
      </c>
      <c r="P44" s="7">
        <f>IF(LEN(P8)=1,"",RIGHT(P8,LEN(P8)-2))</f>
        <v/>
      </c>
      <c r="Q44" s="7">
        <f>IF(LEN(Q8)=1,"",RIGHT(Q8,LEN(Q8)-2))</f>
        <v/>
      </c>
      <c r="R44" s="7">
        <f>IF(LEN(R8)=1,"",RIGHT(R8,LEN(R8)-2))</f>
        <v/>
      </c>
      <c r="S44" s="7">
        <f>IF(LEN(S8)=1,"",RIGHT(S8,LEN(S8)-2))</f>
        <v/>
      </c>
      <c r="T44" s="7">
        <f>IF(LEN(T8)=1,"",RIGHT(T8,LEN(T8)-2))</f>
        <v/>
      </c>
      <c r="U44" s="7">
        <f>IF(LEN(U8)=1,"",RIGHT(U8,LEN(U8)-2))</f>
        <v/>
      </c>
      <c r="V44" s="7">
        <f>IF(LEN(V8)=1,"",RIGHT(V8,LEN(V8)-2))</f>
        <v/>
      </c>
      <c r="W44" s="7">
        <f>IF(LEN(W8)=1,"",RIGHT(W8,LEN(W8)-2))</f>
        <v/>
      </c>
      <c r="X44" s="7">
        <f>IF(LEN(X8)=1,"",RIGHT(X8,LEN(X8)-2))</f>
        <v/>
      </c>
      <c r="Y44" s="7">
        <f>IF(LEN(Y8)=1,"",RIGHT(Y8,LEN(Y8)-2))</f>
        <v/>
      </c>
      <c r="Z44" s="7">
        <f>IF(LEN(Z8)=1,"",RIGHT(Z8,LEN(Z8)-2))</f>
        <v/>
      </c>
      <c r="AA44" s="7">
        <f>IF(LEN(AA8)=1,"",RIGHT(AA8,LEN(AA8)-2))</f>
        <v/>
      </c>
      <c r="AB44" s="7">
        <f>IF(LEN(AB8)=1,"",RIGHT(AB8,LEN(AB8)-2))</f>
        <v/>
      </c>
      <c r="AC44" s="7">
        <f>IF(LEN(AC8)=1,"",RIGHT(AC8,LEN(AC8)-2))</f>
        <v/>
      </c>
      <c r="AD44" s="7">
        <f>IF(LEN(AD8)=1,"",RIGHT(AD8,LEN(AD8)-2))</f>
        <v/>
      </c>
      <c r="AE44" s="7">
        <f>IF(LEN(AE8)=1,"",RIGHT(AE8,LEN(AE8)-2))</f>
        <v/>
      </c>
      <c r="AF44" s="7">
        <f>IF(LEN(AF8)=1,"",RIGHT(AF8,LEN(AF8)-2))</f>
        <v/>
      </c>
      <c r="AG44" s="7">
        <f>IF(LEN(AG8)=1,"",RIGHT(AG8,LEN(AG8)-2))</f>
        <v/>
      </c>
    </row>
    <row r="45">
      <c r="A45" s="22" t="inlineStr">
        <is>
          <t>Staff 7</t>
        </is>
      </c>
      <c r="B45" s="26">
        <f t="array" ref="B45">IFERROR(IF(ROUNDUP(SUMPRODUCT(1/COUNTIF(C45:AG45,C45:AG45)),0)&lt;=2, "Passed", "Failed"),"Failed")</f>
        <v/>
      </c>
      <c r="C45" s="7">
        <f>IF(LEN(C9)=1,"",RIGHT(C9,LEN(C9)-2))</f>
        <v/>
      </c>
      <c r="D45" s="7">
        <f>IF(LEN(D9)=1,"",RIGHT(D9,LEN(D9)-2))</f>
        <v/>
      </c>
      <c r="E45" s="7">
        <f>IF(LEN(E9)=1,"",RIGHT(E9,LEN(E9)-2))</f>
        <v/>
      </c>
      <c r="F45" s="7">
        <f>IF(LEN(F9)=1,"",RIGHT(F9,LEN(F9)-2))</f>
        <v/>
      </c>
      <c r="G45" s="7">
        <f>IF(LEN(G9)=1,"",RIGHT(G9,LEN(G9)-2))</f>
        <v/>
      </c>
      <c r="H45" s="7">
        <f>IF(LEN(H9)=1,"",RIGHT(H9,LEN(H9)-2))</f>
        <v/>
      </c>
      <c r="I45" s="7">
        <f>IF(LEN(I9)=1,"",RIGHT(I9,LEN(I9)-2))</f>
        <v/>
      </c>
      <c r="J45" s="7">
        <f>IF(LEN(J9)=1,"",RIGHT(J9,LEN(J9)-2))</f>
        <v/>
      </c>
      <c r="K45" s="7">
        <f>IF(LEN(K9)=1,"",RIGHT(K9,LEN(K9)-2))</f>
        <v/>
      </c>
      <c r="L45" s="7">
        <f>IF(LEN(L9)=1,"",RIGHT(L9,LEN(L9)-2))</f>
        <v/>
      </c>
      <c r="M45" s="7">
        <f>IF(LEN(M9)=1,"",RIGHT(M9,LEN(M9)-2))</f>
        <v/>
      </c>
      <c r="N45" s="7">
        <f>IF(LEN(N9)=1,"",RIGHT(N9,LEN(N9)-2))</f>
        <v/>
      </c>
      <c r="O45" s="7">
        <f>IF(LEN(O9)=1,"",RIGHT(O9,LEN(O9)-2))</f>
        <v/>
      </c>
      <c r="P45" s="7">
        <f>IF(LEN(P9)=1,"",RIGHT(P9,LEN(P9)-2))</f>
        <v/>
      </c>
      <c r="Q45" s="7">
        <f>IF(LEN(Q9)=1,"",RIGHT(Q9,LEN(Q9)-2))</f>
        <v/>
      </c>
      <c r="R45" s="7">
        <f>IF(LEN(R9)=1,"",RIGHT(R9,LEN(R9)-2))</f>
        <v/>
      </c>
      <c r="S45" s="7">
        <f>IF(LEN(S9)=1,"",RIGHT(S9,LEN(S9)-2))</f>
        <v/>
      </c>
      <c r="T45" s="7">
        <f>IF(LEN(T9)=1,"",RIGHT(T9,LEN(T9)-2))</f>
        <v/>
      </c>
      <c r="U45" s="7">
        <f>IF(LEN(U9)=1,"",RIGHT(U9,LEN(U9)-2))</f>
        <v/>
      </c>
      <c r="V45" s="7">
        <f>IF(LEN(V9)=1,"",RIGHT(V9,LEN(V9)-2))</f>
        <v/>
      </c>
      <c r="W45" s="7">
        <f>IF(LEN(W9)=1,"",RIGHT(W9,LEN(W9)-2))</f>
        <v/>
      </c>
      <c r="X45" s="7">
        <f>IF(LEN(X9)=1,"",RIGHT(X9,LEN(X9)-2))</f>
        <v/>
      </c>
      <c r="Y45" s="7">
        <f>IF(LEN(Y9)=1,"",RIGHT(Y9,LEN(Y9)-2))</f>
        <v/>
      </c>
      <c r="Z45" s="7">
        <f>IF(LEN(Z9)=1,"",RIGHT(Z9,LEN(Z9)-2))</f>
        <v/>
      </c>
      <c r="AA45" s="7">
        <f>IF(LEN(AA9)=1,"",RIGHT(AA9,LEN(AA9)-2))</f>
        <v/>
      </c>
      <c r="AB45" s="7">
        <f>IF(LEN(AB9)=1,"",RIGHT(AB9,LEN(AB9)-2))</f>
        <v/>
      </c>
      <c r="AC45" s="7">
        <f>IF(LEN(AC9)=1,"",RIGHT(AC9,LEN(AC9)-2))</f>
        <v/>
      </c>
      <c r="AD45" s="7">
        <f>IF(LEN(AD9)=1,"",RIGHT(AD9,LEN(AD9)-2))</f>
        <v/>
      </c>
      <c r="AE45" s="7">
        <f>IF(LEN(AE9)=1,"",RIGHT(AE9,LEN(AE9)-2))</f>
        <v/>
      </c>
      <c r="AF45" s="7">
        <f>IF(LEN(AF9)=1,"",RIGHT(AF9,LEN(AF9)-2))</f>
        <v/>
      </c>
      <c r="AG45" s="7">
        <f>IF(LEN(AG9)=1,"",RIGHT(AG9,LEN(AG9)-2))</f>
        <v/>
      </c>
    </row>
    <row r="46">
      <c r="A46" s="22" t="inlineStr">
        <is>
          <t>Staff 8</t>
        </is>
      </c>
      <c r="B46" s="26">
        <f t="array" ref="B46">IFERROR(IF(ROUNDUP(SUMPRODUCT(1/COUNTIF(C46:AG46,C46:AG46)),0)&lt;=2, "Passed", "Failed"),"Failed")</f>
        <v/>
      </c>
      <c r="C46" s="7">
        <f>IF(LEN(C10)=1,"",RIGHT(C10,LEN(C10)-2))</f>
        <v/>
      </c>
      <c r="D46" s="7">
        <f>IF(LEN(D10)=1,"",RIGHT(D10,LEN(D10)-2))</f>
        <v/>
      </c>
      <c r="E46" s="7">
        <f>IF(LEN(E10)=1,"",RIGHT(E10,LEN(E10)-2))</f>
        <v/>
      </c>
      <c r="F46" s="7">
        <f>IF(LEN(F10)=1,"",RIGHT(F10,LEN(F10)-2))</f>
        <v/>
      </c>
      <c r="G46" s="7">
        <f>IF(LEN(G10)=1,"",RIGHT(G10,LEN(G10)-2))</f>
        <v/>
      </c>
      <c r="H46" s="7">
        <f>IF(LEN(H10)=1,"",RIGHT(H10,LEN(H10)-2))</f>
        <v/>
      </c>
      <c r="I46" s="7">
        <f>IF(LEN(I10)=1,"",RIGHT(I10,LEN(I10)-2))</f>
        <v/>
      </c>
      <c r="J46" s="7">
        <f>IF(LEN(J10)=1,"",RIGHT(J10,LEN(J10)-2))</f>
        <v/>
      </c>
      <c r="K46" s="7">
        <f>IF(LEN(K10)=1,"",RIGHT(K10,LEN(K10)-2))</f>
        <v/>
      </c>
      <c r="L46" s="7">
        <f>IF(LEN(L10)=1,"",RIGHT(L10,LEN(L10)-2))</f>
        <v/>
      </c>
      <c r="M46" s="7">
        <f>IF(LEN(M10)=1,"",RIGHT(M10,LEN(M10)-2))</f>
        <v/>
      </c>
      <c r="N46" s="7">
        <f>IF(LEN(N10)=1,"",RIGHT(N10,LEN(N10)-2))</f>
        <v/>
      </c>
      <c r="O46" s="7">
        <f>IF(LEN(O10)=1,"",RIGHT(O10,LEN(O10)-2))</f>
        <v/>
      </c>
      <c r="P46" s="7">
        <f>IF(LEN(P10)=1,"",RIGHT(P10,LEN(P10)-2))</f>
        <v/>
      </c>
      <c r="Q46" s="7">
        <f>IF(LEN(Q10)=1,"",RIGHT(Q10,LEN(Q10)-2))</f>
        <v/>
      </c>
      <c r="R46" s="7">
        <f>IF(LEN(R10)=1,"",RIGHT(R10,LEN(R10)-2))</f>
        <v/>
      </c>
      <c r="S46" s="7">
        <f>IF(LEN(S10)=1,"",RIGHT(S10,LEN(S10)-2))</f>
        <v/>
      </c>
      <c r="T46" s="7">
        <f>IF(LEN(T10)=1,"",RIGHT(T10,LEN(T10)-2))</f>
        <v/>
      </c>
      <c r="U46" s="7">
        <f>IF(LEN(U10)=1,"",RIGHT(U10,LEN(U10)-2))</f>
        <v/>
      </c>
      <c r="V46" s="7">
        <f>IF(LEN(V10)=1,"",RIGHT(V10,LEN(V10)-2))</f>
        <v/>
      </c>
      <c r="W46" s="7">
        <f>IF(LEN(W10)=1,"",RIGHT(W10,LEN(W10)-2))</f>
        <v/>
      </c>
      <c r="X46" s="7">
        <f>IF(LEN(X10)=1,"",RIGHT(X10,LEN(X10)-2))</f>
        <v/>
      </c>
      <c r="Y46" s="7">
        <f>IF(LEN(Y10)=1,"",RIGHT(Y10,LEN(Y10)-2))</f>
        <v/>
      </c>
      <c r="Z46" s="7">
        <f>IF(LEN(Z10)=1,"",RIGHT(Z10,LEN(Z10)-2))</f>
        <v/>
      </c>
      <c r="AA46" s="7">
        <f>IF(LEN(AA10)=1,"",RIGHT(AA10,LEN(AA10)-2))</f>
        <v/>
      </c>
      <c r="AB46" s="7">
        <f>IF(LEN(AB10)=1,"",RIGHT(AB10,LEN(AB10)-2))</f>
        <v/>
      </c>
      <c r="AC46" s="7">
        <f>IF(LEN(AC10)=1,"",RIGHT(AC10,LEN(AC10)-2))</f>
        <v/>
      </c>
      <c r="AD46" s="7">
        <f>IF(LEN(AD10)=1,"",RIGHT(AD10,LEN(AD10)-2))</f>
        <v/>
      </c>
      <c r="AE46" s="7">
        <f>IF(LEN(AE10)=1,"",RIGHT(AE10,LEN(AE10)-2))</f>
        <v/>
      </c>
      <c r="AF46" s="7">
        <f>IF(LEN(AF10)=1,"",RIGHT(AF10,LEN(AF10)-2))</f>
        <v/>
      </c>
      <c r="AG46" s="7">
        <f>IF(LEN(AG10)=1,"",RIGHT(AG10,LEN(AG10)-2))</f>
        <v/>
      </c>
    </row>
    <row r="47">
      <c r="A47" s="22" t="inlineStr">
        <is>
          <t>Staff 9</t>
        </is>
      </c>
      <c r="B47" s="26">
        <f t="array" ref="B47">IFERROR(IF(ROUNDUP(SUMPRODUCT(1/COUNTIF(C47:AG47,C47:AG47)),0)&lt;=2, "Passed", "Failed"),"Failed")</f>
        <v/>
      </c>
      <c r="C47" s="7">
        <f>IF(LEN(C11)=1,"",RIGHT(C11,LEN(C11)-2))</f>
        <v/>
      </c>
      <c r="D47" s="7">
        <f>IF(LEN(D11)=1,"",RIGHT(D11,LEN(D11)-2))</f>
        <v/>
      </c>
      <c r="E47" s="7">
        <f>IF(LEN(E11)=1,"",RIGHT(E11,LEN(E11)-2))</f>
        <v/>
      </c>
      <c r="F47" s="7">
        <f>IF(LEN(F11)=1,"",RIGHT(F11,LEN(F11)-2))</f>
        <v/>
      </c>
      <c r="G47" s="7">
        <f>IF(LEN(G11)=1,"",RIGHT(G11,LEN(G11)-2))</f>
        <v/>
      </c>
      <c r="H47" s="7">
        <f>IF(LEN(H11)=1,"",RIGHT(H11,LEN(H11)-2))</f>
        <v/>
      </c>
      <c r="I47" s="7">
        <f>IF(LEN(I11)=1,"",RIGHT(I11,LEN(I11)-2))</f>
        <v/>
      </c>
      <c r="J47" s="7">
        <f>IF(LEN(J11)=1,"",RIGHT(J11,LEN(J11)-2))</f>
        <v/>
      </c>
      <c r="K47" s="7">
        <f>IF(LEN(K11)=1,"",RIGHT(K11,LEN(K11)-2))</f>
        <v/>
      </c>
      <c r="L47" s="7">
        <f>IF(LEN(L11)=1,"",RIGHT(L11,LEN(L11)-2))</f>
        <v/>
      </c>
      <c r="M47" s="7">
        <f>IF(LEN(M11)=1,"",RIGHT(M11,LEN(M11)-2))</f>
        <v/>
      </c>
      <c r="N47" s="7">
        <f>IF(LEN(N11)=1,"",RIGHT(N11,LEN(N11)-2))</f>
        <v/>
      </c>
      <c r="O47" s="7">
        <f>IF(LEN(O11)=1,"",RIGHT(O11,LEN(O11)-2))</f>
        <v/>
      </c>
      <c r="P47" s="7">
        <f>IF(LEN(P11)=1,"",RIGHT(P11,LEN(P11)-2))</f>
        <v/>
      </c>
      <c r="Q47" s="7">
        <f>IF(LEN(Q11)=1,"",RIGHT(Q11,LEN(Q11)-2))</f>
        <v/>
      </c>
      <c r="R47" s="7">
        <f>IF(LEN(R11)=1,"",RIGHT(R11,LEN(R11)-2))</f>
        <v/>
      </c>
      <c r="S47" s="7">
        <f>IF(LEN(S11)=1,"",RIGHT(S11,LEN(S11)-2))</f>
        <v/>
      </c>
      <c r="T47" s="7">
        <f>IF(LEN(T11)=1,"",RIGHT(T11,LEN(T11)-2))</f>
        <v/>
      </c>
      <c r="U47" s="7">
        <f>IF(LEN(U11)=1,"",RIGHT(U11,LEN(U11)-2))</f>
        <v/>
      </c>
      <c r="V47" s="7">
        <f>IF(LEN(V11)=1,"",RIGHT(V11,LEN(V11)-2))</f>
        <v/>
      </c>
      <c r="W47" s="7">
        <f>IF(LEN(W11)=1,"",RIGHT(W11,LEN(W11)-2))</f>
        <v/>
      </c>
      <c r="X47" s="7">
        <f>IF(LEN(X11)=1,"",RIGHT(X11,LEN(X11)-2))</f>
        <v/>
      </c>
      <c r="Y47" s="7">
        <f>IF(LEN(Y11)=1,"",RIGHT(Y11,LEN(Y11)-2))</f>
        <v/>
      </c>
      <c r="Z47" s="7">
        <f>IF(LEN(Z11)=1,"",RIGHT(Z11,LEN(Z11)-2))</f>
        <v/>
      </c>
      <c r="AA47" s="7">
        <f>IF(LEN(AA11)=1,"",RIGHT(AA11,LEN(AA11)-2))</f>
        <v/>
      </c>
      <c r="AB47" s="7">
        <f>IF(LEN(AB11)=1,"",RIGHT(AB11,LEN(AB11)-2))</f>
        <v/>
      </c>
      <c r="AC47" s="7">
        <f>IF(LEN(AC11)=1,"",RIGHT(AC11,LEN(AC11)-2))</f>
        <v/>
      </c>
      <c r="AD47" s="7">
        <f>IF(LEN(AD11)=1,"",RIGHT(AD11,LEN(AD11)-2))</f>
        <v/>
      </c>
      <c r="AE47" s="7">
        <f>IF(LEN(AE11)=1,"",RIGHT(AE11,LEN(AE11)-2))</f>
        <v/>
      </c>
      <c r="AF47" s="7">
        <f>IF(LEN(AF11)=1,"",RIGHT(AF11,LEN(AF11)-2))</f>
        <v/>
      </c>
      <c r="AG47" s="7">
        <f>IF(LEN(AG11)=1,"",RIGHT(AG11,LEN(AG11)-2))</f>
        <v/>
      </c>
    </row>
    <row r="48">
      <c r="A48" s="22" t="inlineStr">
        <is>
          <t>Staff 10</t>
        </is>
      </c>
      <c r="B48" s="26">
        <f t="array" ref="B48">IFERROR(IF(ROUNDUP(SUMPRODUCT(1/COUNTIF(C48:AG48,C48:AG48)),0)&lt;=2, "Passed", "Failed"),"Failed")</f>
        <v/>
      </c>
      <c r="C48" s="7">
        <f>IF(LEN(C12)=1,"",RIGHT(C12,LEN(C12)-2))</f>
        <v/>
      </c>
      <c r="D48" s="7">
        <f>IF(LEN(D12)=1,"",RIGHT(D12,LEN(D12)-2))</f>
        <v/>
      </c>
      <c r="E48" s="7">
        <f>IF(LEN(E12)=1,"",RIGHT(E12,LEN(E12)-2))</f>
        <v/>
      </c>
      <c r="F48" s="7">
        <f>IF(LEN(F12)=1,"",RIGHT(F12,LEN(F12)-2))</f>
        <v/>
      </c>
      <c r="G48" s="7">
        <f>IF(LEN(G12)=1,"",RIGHT(G12,LEN(G12)-2))</f>
        <v/>
      </c>
      <c r="H48" s="7">
        <f>IF(LEN(H12)=1,"",RIGHT(H12,LEN(H12)-2))</f>
        <v/>
      </c>
      <c r="I48" s="7">
        <f>IF(LEN(I12)=1,"",RIGHT(I12,LEN(I12)-2))</f>
        <v/>
      </c>
      <c r="J48" s="7">
        <f>IF(LEN(J12)=1,"",RIGHT(J12,LEN(J12)-2))</f>
        <v/>
      </c>
      <c r="K48" s="7">
        <f>IF(LEN(K12)=1,"",RIGHT(K12,LEN(K12)-2))</f>
        <v/>
      </c>
      <c r="L48" s="7">
        <f>IF(LEN(L12)=1,"",RIGHT(L12,LEN(L12)-2))</f>
        <v/>
      </c>
      <c r="M48" s="7">
        <f>IF(LEN(M12)=1,"",RIGHT(M12,LEN(M12)-2))</f>
        <v/>
      </c>
      <c r="N48" s="7">
        <f>IF(LEN(N12)=1,"",RIGHT(N12,LEN(N12)-2))</f>
        <v/>
      </c>
      <c r="O48" s="7">
        <f>IF(LEN(O12)=1,"",RIGHT(O12,LEN(O12)-2))</f>
        <v/>
      </c>
      <c r="P48" s="7">
        <f>IF(LEN(P12)=1,"",RIGHT(P12,LEN(P12)-2))</f>
        <v/>
      </c>
      <c r="Q48" s="7">
        <f>IF(LEN(Q12)=1,"",RIGHT(Q12,LEN(Q12)-2))</f>
        <v/>
      </c>
      <c r="R48" s="7">
        <f>IF(LEN(R12)=1,"",RIGHT(R12,LEN(R12)-2))</f>
        <v/>
      </c>
      <c r="S48" s="7">
        <f>IF(LEN(S12)=1,"",RIGHT(S12,LEN(S12)-2))</f>
        <v/>
      </c>
      <c r="T48" s="7">
        <f>IF(LEN(T12)=1,"",RIGHT(T12,LEN(T12)-2))</f>
        <v/>
      </c>
      <c r="U48" s="7">
        <f>IF(LEN(U12)=1,"",RIGHT(U12,LEN(U12)-2))</f>
        <v/>
      </c>
      <c r="V48" s="7">
        <f>IF(LEN(V12)=1,"",RIGHT(V12,LEN(V12)-2))</f>
        <v/>
      </c>
      <c r="W48" s="7">
        <f>IF(LEN(W12)=1,"",RIGHT(W12,LEN(W12)-2))</f>
        <v/>
      </c>
      <c r="X48" s="7">
        <f>IF(LEN(X12)=1,"",RIGHT(X12,LEN(X12)-2))</f>
        <v/>
      </c>
      <c r="Y48" s="7">
        <f>IF(LEN(Y12)=1,"",RIGHT(Y12,LEN(Y12)-2))</f>
        <v/>
      </c>
      <c r="Z48" s="7">
        <f>IF(LEN(Z12)=1,"",RIGHT(Z12,LEN(Z12)-2))</f>
        <v/>
      </c>
      <c r="AA48" s="7">
        <f>IF(LEN(AA12)=1,"",RIGHT(AA12,LEN(AA12)-2))</f>
        <v/>
      </c>
      <c r="AB48" s="7">
        <f>IF(LEN(AB12)=1,"",RIGHT(AB12,LEN(AB12)-2))</f>
        <v/>
      </c>
      <c r="AC48" s="7">
        <f>IF(LEN(AC12)=1,"",RIGHT(AC12,LEN(AC12)-2))</f>
        <v/>
      </c>
      <c r="AD48" s="7">
        <f>IF(LEN(AD12)=1,"",RIGHT(AD12,LEN(AD12)-2))</f>
        <v/>
      </c>
      <c r="AE48" s="7">
        <f>IF(LEN(AE12)=1,"",RIGHT(AE12,LEN(AE12)-2))</f>
        <v/>
      </c>
      <c r="AF48" s="7">
        <f>IF(LEN(AF12)=1,"",RIGHT(AF12,LEN(AF12)-2))</f>
        <v/>
      </c>
      <c r="AG48" s="7">
        <f>IF(LEN(AG12)=1,"",RIGHT(AG12,LEN(AG12)-2))</f>
        <v/>
      </c>
    </row>
    <row r="49">
      <c r="A49" s="22" t="inlineStr">
        <is>
          <t>Staff 11</t>
        </is>
      </c>
      <c r="B49" s="26">
        <f t="array" ref="B49">IFERROR(IF(ROUNDUP(SUMPRODUCT(1/COUNTIF(C49:AG49,C49:AG49)),0)&lt;=2, "Passed", "Failed"),"Failed")</f>
        <v/>
      </c>
      <c r="C49" s="7">
        <f>IF(LEN(C13)=1,"",RIGHT(C13,LEN(C13)-2))</f>
        <v/>
      </c>
      <c r="D49" s="7">
        <f>IF(LEN(D13)=1,"",RIGHT(D13,LEN(D13)-2))</f>
        <v/>
      </c>
      <c r="E49" s="7">
        <f>IF(LEN(E13)=1,"",RIGHT(E13,LEN(E13)-2))</f>
        <v/>
      </c>
      <c r="F49" s="7">
        <f>IF(LEN(F13)=1,"",RIGHT(F13,LEN(F13)-2))</f>
        <v/>
      </c>
      <c r="G49" s="7">
        <f>IF(LEN(G13)=1,"",RIGHT(G13,LEN(G13)-2))</f>
        <v/>
      </c>
      <c r="H49" s="7">
        <f>IF(LEN(H13)=1,"",RIGHT(H13,LEN(H13)-2))</f>
        <v/>
      </c>
      <c r="I49" s="7">
        <f>IF(LEN(I13)=1,"",RIGHT(I13,LEN(I13)-2))</f>
        <v/>
      </c>
      <c r="J49" s="7">
        <f>IF(LEN(J13)=1,"",RIGHT(J13,LEN(J13)-2))</f>
        <v/>
      </c>
      <c r="K49" s="7">
        <f>IF(LEN(K13)=1,"",RIGHT(K13,LEN(K13)-2))</f>
        <v/>
      </c>
      <c r="L49" s="7">
        <f>IF(LEN(L13)=1,"",RIGHT(L13,LEN(L13)-2))</f>
        <v/>
      </c>
      <c r="M49" s="7">
        <f>IF(LEN(M13)=1,"",RIGHT(M13,LEN(M13)-2))</f>
        <v/>
      </c>
      <c r="N49" s="7">
        <f>IF(LEN(N13)=1,"",RIGHT(N13,LEN(N13)-2))</f>
        <v/>
      </c>
      <c r="O49" s="7">
        <f>IF(LEN(O13)=1,"",RIGHT(O13,LEN(O13)-2))</f>
        <v/>
      </c>
      <c r="P49" s="7">
        <f>IF(LEN(P13)=1,"",RIGHT(P13,LEN(P13)-2))</f>
        <v/>
      </c>
      <c r="Q49" s="7">
        <f>IF(LEN(Q13)=1,"",RIGHT(Q13,LEN(Q13)-2))</f>
        <v/>
      </c>
      <c r="R49" s="7">
        <f>IF(LEN(R13)=1,"",RIGHT(R13,LEN(R13)-2))</f>
        <v/>
      </c>
      <c r="S49" s="7">
        <f>IF(LEN(S13)=1,"",RIGHT(S13,LEN(S13)-2))</f>
        <v/>
      </c>
      <c r="T49" s="7">
        <f>IF(LEN(T13)=1,"",RIGHT(T13,LEN(T13)-2))</f>
        <v/>
      </c>
      <c r="U49" s="7">
        <f>IF(LEN(U13)=1,"",RIGHT(U13,LEN(U13)-2))</f>
        <v/>
      </c>
      <c r="V49" s="7">
        <f>IF(LEN(V13)=1,"",RIGHT(V13,LEN(V13)-2))</f>
        <v/>
      </c>
      <c r="W49" s="7">
        <f>IF(LEN(W13)=1,"",RIGHT(W13,LEN(W13)-2))</f>
        <v/>
      </c>
      <c r="X49" s="7">
        <f>IF(LEN(X13)=1,"",RIGHT(X13,LEN(X13)-2))</f>
        <v/>
      </c>
      <c r="Y49" s="7">
        <f>IF(LEN(Y13)=1,"",RIGHT(Y13,LEN(Y13)-2))</f>
        <v/>
      </c>
      <c r="Z49" s="7">
        <f>IF(LEN(Z13)=1,"",RIGHT(Z13,LEN(Z13)-2))</f>
        <v/>
      </c>
      <c r="AA49" s="7">
        <f>IF(LEN(AA13)=1,"",RIGHT(AA13,LEN(AA13)-2))</f>
        <v/>
      </c>
      <c r="AB49" s="7">
        <f>IF(LEN(AB13)=1,"",RIGHT(AB13,LEN(AB13)-2))</f>
        <v/>
      </c>
      <c r="AC49" s="7">
        <f>IF(LEN(AC13)=1,"",RIGHT(AC13,LEN(AC13)-2))</f>
        <v/>
      </c>
      <c r="AD49" s="7">
        <f>IF(LEN(AD13)=1,"",RIGHT(AD13,LEN(AD13)-2))</f>
        <v/>
      </c>
      <c r="AE49" s="7">
        <f>IF(LEN(AE13)=1,"",RIGHT(AE13,LEN(AE13)-2))</f>
        <v/>
      </c>
      <c r="AF49" s="7">
        <f>IF(LEN(AF13)=1,"",RIGHT(AF13,LEN(AF13)-2))</f>
        <v/>
      </c>
      <c r="AG49" s="7">
        <f>IF(LEN(AG13)=1,"",RIGHT(AG13,LEN(AG13)-2))</f>
        <v/>
      </c>
    </row>
    <row r="50">
      <c r="A50" s="22" t="inlineStr">
        <is>
          <t>Staff 12</t>
        </is>
      </c>
      <c r="B50" s="26">
        <f t="array" ref="B50">IFERROR(IF(ROUNDUP(SUMPRODUCT(1/COUNTIF(C50:AG50,C50:AG50)),0)&lt;=2, "Passed", "Failed"),"Failed")</f>
        <v/>
      </c>
      <c r="C50" s="7">
        <f>IF(LEN(C14)=1,"",RIGHT(C14,LEN(C14)-2))</f>
        <v/>
      </c>
      <c r="D50" s="7">
        <f>IF(LEN(D14)=1,"",RIGHT(D14,LEN(D14)-2))</f>
        <v/>
      </c>
      <c r="E50" s="7">
        <f>IF(LEN(E14)=1,"",RIGHT(E14,LEN(E14)-2))</f>
        <v/>
      </c>
      <c r="F50" s="7">
        <f>IF(LEN(F14)=1,"",RIGHT(F14,LEN(F14)-2))</f>
        <v/>
      </c>
      <c r="G50" s="7">
        <f>IF(LEN(G14)=1,"",RIGHT(G14,LEN(G14)-2))</f>
        <v/>
      </c>
      <c r="H50" s="7">
        <f>IF(LEN(H14)=1,"",RIGHT(H14,LEN(H14)-2))</f>
        <v/>
      </c>
      <c r="I50" s="7">
        <f>IF(LEN(I14)=1,"",RIGHT(I14,LEN(I14)-2))</f>
        <v/>
      </c>
      <c r="J50" s="7">
        <f>IF(LEN(J14)=1,"",RIGHT(J14,LEN(J14)-2))</f>
        <v/>
      </c>
      <c r="K50" s="7">
        <f>IF(LEN(K14)=1,"",RIGHT(K14,LEN(K14)-2))</f>
        <v/>
      </c>
      <c r="L50" s="7">
        <f>IF(LEN(L14)=1,"",RIGHT(L14,LEN(L14)-2))</f>
        <v/>
      </c>
      <c r="M50" s="7">
        <f>IF(LEN(M14)=1,"",RIGHT(M14,LEN(M14)-2))</f>
        <v/>
      </c>
      <c r="N50" s="7">
        <f>IF(LEN(N14)=1,"",RIGHT(N14,LEN(N14)-2))</f>
        <v/>
      </c>
      <c r="O50" s="7">
        <f>IF(LEN(O14)=1,"",RIGHT(O14,LEN(O14)-2))</f>
        <v/>
      </c>
      <c r="P50" s="7">
        <f>IF(LEN(P14)=1,"",RIGHT(P14,LEN(P14)-2))</f>
        <v/>
      </c>
      <c r="Q50" s="7">
        <f>IF(LEN(Q14)=1,"",RIGHT(Q14,LEN(Q14)-2))</f>
        <v/>
      </c>
      <c r="R50" s="7">
        <f>IF(LEN(R14)=1,"",RIGHT(R14,LEN(R14)-2))</f>
        <v/>
      </c>
      <c r="S50" s="7">
        <f>IF(LEN(S14)=1,"",RIGHT(S14,LEN(S14)-2))</f>
        <v/>
      </c>
      <c r="T50" s="7">
        <f>IF(LEN(T14)=1,"",RIGHT(T14,LEN(T14)-2))</f>
        <v/>
      </c>
      <c r="U50" s="7">
        <f>IF(LEN(U14)=1,"",RIGHT(U14,LEN(U14)-2))</f>
        <v/>
      </c>
      <c r="V50" s="7">
        <f>IF(LEN(V14)=1,"",RIGHT(V14,LEN(V14)-2))</f>
        <v/>
      </c>
      <c r="W50" s="7">
        <f>IF(LEN(W14)=1,"",RIGHT(W14,LEN(W14)-2))</f>
        <v/>
      </c>
      <c r="X50" s="7">
        <f>IF(LEN(X14)=1,"",RIGHT(X14,LEN(X14)-2))</f>
        <v/>
      </c>
      <c r="Y50" s="7">
        <f>IF(LEN(Y14)=1,"",RIGHT(Y14,LEN(Y14)-2))</f>
        <v/>
      </c>
      <c r="Z50" s="7">
        <f>IF(LEN(Z14)=1,"",RIGHT(Z14,LEN(Z14)-2))</f>
        <v/>
      </c>
      <c r="AA50" s="7">
        <f>IF(LEN(AA14)=1,"",RIGHT(AA14,LEN(AA14)-2))</f>
        <v/>
      </c>
      <c r="AB50" s="7">
        <f>IF(LEN(AB14)=1,"",RIGHT(AB14,LEN(AB14)-2))</f>
        <v/>
      </c>
      <c r="AC50" s="7">
        <f>IF(LEN(AC14)=1,"",RIGHT(AC14,LEN(AC14)-2))</f>
        <v/>
      </c>
      <c r="AD50" s="7">
        <f>IF(LEN(AD14)=1,"",RIGHT(AD14,LEN(AD14)-2))</f>
        <v/>
      </c>
      <c r="AE50" s="7">
        <f>IF(LEN(AE14)=1,"",RIGHT(AE14,LEN(AE14)-2))</f>
        <v/>
      </c>
      <c r="AF50" s="7">
        <f>IF(LEN(AF14)=1,"",RIGHT(AF14,LEN(AF14)-2))</f>
        <v/>
      </c>
      <c r="AG50" s="7">
        <f>IF(LEN(AG14)=1,"",RIGHT(AG14,LEN(AG14)-2))</f>
        <v/>
      </c>
    </row>
    <row r="51">
      <c r="A51" s="22" t="inlineStr">
        <is>
          <t>Staff 13</t>
        </is>
      </c>
      <c r="B51" s="26">
        <f t="array" ref="B51">IFERROR(IF(ROUNDUP(SUMPRODUCT(1/COUNTIF(C51:AG51,C51:AG51)),0)&lt;=2, "Passed", "Failed"),"Failed")</f>
        <v/>
      </c>
      <c r="C51" s="7">
        <f>IF(LEN(C15)=1,"",RIGHT(C15,LEN(C15)-2))</f>
        <v/>
      </c>
      <c r="D51" s="7">
        <f>IF(LEN(D15)=1,"",RIGHT(D15,LEN(D15)-2))</f>
        <v/>
      </c>
      <c r="E51" s="7">
        <f>IF(LEN(E15)=1,"",RIGHT(E15,LEN(E15)-2))</f>
        <v/>
      </c>
      <c r="F51" s="7">
        <f>IF(LEN(F15)=1,"",RIGHT(F15,LEN(F15)-2))</f>
        <v/>
      </c>
      <c r="G51" s="7">
        <f>IF(LEN(G15)=1,"",RIGHT(G15,LEN(G15)-2))</f>
        <v/>
      </c>
      <c r="H51" s="7">
        <f>IF(LEN(H15)=1,"",RIGHT(H15,LEN(H15)-2))</f>
        <v/>
      </c>
      <c r="I51" s="7">
        <f>IF(LEN(I15)=1,"",RIGHT(I15,LEN(I15)-2))</f>
        <v/>
      </c>
      <c r="J51" s="7">
        <f>IF(LEN(J15)=1,"",RIGHT(J15,LEN(J15)-2))</f>
        <v/>
      </c>
      <c r="K51" s="7">
        <f>IF(LEN(K15)=1,"",RIGHT(K15,LEN(K15)-2))</f>
        <v/>
      </c>
      <c r="L51" s="7">
        <f>IF(LEN(L15)=1,"",RIGHT(L15,LEN(L15)-2))</f>
        <v/>
      </c>
      <c r="M51" s="7">
        <f>IF(LEN(M15)=1,"",RIGHT(M15,LEN(M15)-2))</f>
        <v/>
      </c>
      <c r="N51" s="7">
        <f>IF(LEN(N15)=1,"",RIGHT(N15,LEN(N15)-2))</f>
        <v/>
      </c>
      <c r="O51" s="7">
        <f>IF(LEN(O15)=1,"",RIGHT(O15,LEN(O15)-2))</f>
        <v/>
      </c>
      <c r="P51" s="7">
        <f>IF(LEN(P15)=1,"",RIGHT(P15,LEN(P15)-2))</f>
        <v/>
      </c>
      <c r="Q51" s="7">
        <f>IF(LEN(Q15)=1,"",RIGHT(Q15,LEN(Q15)-2))</f>
        <v/>
      </c>
      <c r="R51" s="7">
        <f>IF(LEN(R15)=1,"",RIGHT(R15,LEN(R15)-2))</f>
        <v/>
      </c>
      <c r="S51" s="7">
        <f>IF(LEN(S15)=1,"",RIGHT(S15,LEN(S15)-2))</f>
        <v/>
      </c>
      <c r="T51" s="7">
        <f>IF(LEN(T15)=1,"",RIGHT(T15,LEN(T15)-2))</f>
        <v/>
      </c>
      <c r="U51" s="7">
        <f>IF(LEN(U15)=1,"",RIGHT(U15,LEN(U15)-2))</f>
        <v/>
      </c>
      <c r="V51" s="7">
        <f>IF(LEN(V15)=1,"",RIGHT(V15,LEN(V15)-2))</f>
        <v/>
      </c>
      <c r="W51" s="7">
        <f>IF(LEN(W15)=1,"",RIGHT(W15,LEN(W15)-2))</f>
        <v/>
      </c>
      <c r="X51" s="7">
        <f>IF(LEN(X15)=1,"",RIGHT(X15,LEN(X15)-2))</f>
        <v/>
      </c>
      <c r="Y51" s="7">
        <f>IF(LEN(Y15)=1,"",RIGHT(Y15,LEN(Y15)-2))</f>
        <v/>
      </c>
      <c r="Z51" s="7">
        <f>IF(LEN(Z15)=1,"",RIGHT(Z15,LEN(Z15)-2))</f>
        <v/>
      </c>
      <c r="AA51" s="7">
        <f>IF(LEN(AA15)=1,"",RIGHT(AA15,LEN(AA15)-2))</f>
        <v/>
      </c>
      <c r="AB51" s="7">
        <f>IF(LEN(AB15)=1,"",RIGHT(AB15,LEN(AB15)-2))</f>
        <v/>
      </c>
      <c r="AC51" s="7">
        <f>IF(LEN(AC15)=1,"",RIGHT(AC15,LEN(AC15)-2))</f>
        <v/>
      </c>
      <c r="AD51" s="7">
        <f>IF(LEN(AD15)=1,"",RIGHT(AD15,LEN(AD15)-2))</f>
        <v/>
      </c>
      <c r="AE51" s="7">
        <f>IF(LEN(AE15)=1,"",RIGHT(AE15,LEN(AE15)-2))</f>
        <v/>
      </c>
      <c r="AF51" s="7">
        <f>IF(LEN(AF15)=1,"",RIGHT(AF15,LEN(AF15)-2))</f>
        <v/>
      </c>
      <c r="AG51" s="7">
        <f>IF(LEN(AG15)=1,"",RIGHT(AG15,LEN(AG15)-2))</f>
        <v/>
      </c>
    </row>
    <row r="52">
      <c r="A52" s="22" t="inlineStr">
        <is>
          <t>Staff 14</t>
        </is>
      </c>
      <c r="B52" s="26">
        <f t="array" ref="B52">IFERROR(IF(ROUNDUP(SUMPRODUCT(1/COUNTIF(C52:AG52,C52:AG52)),0)&lt;=2, "Passed", "Failed"),"Failed")</f>
        <v/>
      </c>
      <c r="C52" s="7">
        <f>IF(LEN(C16)=1,"",RIGHT(C16,LEN(C16)-2))</f>
        <v/>
      </c>
      <c r="D52" s="7">
        <f>IF(LEN(D16)=1,"",RIGHT(D16,LEN(D16)-2))</f>
        <v/>
      </c>
      <c r="E52" s="7">
        <f>IF(LEN(E16)=1,"",RIGHT(E16,LEN(E16)-2))</f>
        <v/>
      </c>
      <c r="F52" s="7">
        <f>IF(LEN(F16)=1,"",RIGHT(F16,LEN(F16)-2))</f>
        <v/>
      </c>
      <c r="G52" s="7">
        <f>IF(LEN(G16)=1,"",RIGHT(G16,LEN(G16)-2))</f>
        <v/>
      </c>
      <c r="H52" s="7">
        <f>IF(LEN(H16)=1,"",RIGHT(H16,LEN(H16)-2))</f>
        <v/>
      </c>
      <c r="I52" s="7">
        <f>IF(LEN(I16)=1,"",RIGHT(I16,LEN(I16)-2))</f>
        <v/>
      </c>
      <c r="J52" s="7">
        <f>IF(LEN(J16)=1,"",RIGHT(J16,LEN(J16)-2))</f>
        <v/>
      </c>
      <c r="K52" s="7">
        <f>IF(LEN(K16)=1,"",RIGHT(K16,LEN(K16)-2))</f>
        <v/>
      </c>
      <c r="L52" s="7">
        <f>IF(LEN(L16)=1,"",RIGHT(L16,LEN(L16)-2))</f>
        <v/>
      </c>
      <c r="M52" s="7">
        <f>IF(LEN(M16)=1,"",RIGHT(M16,LEN(M16)-2))</f>
        <v/>
      </c>
      <c r="N52" s="7">
        <f>IF(LEN(N16)=1,"",RIGHT(N16,LEN(N16)-2))</f>
        <v/>
      </c>
      <c r="O52" s="7">
        <f>IF(LEN(O16)=1,"",RIGHT(O16,LEN(O16)-2))</f>
        <v/>
      </c>
      <c r="P52" s="7">
        <f>IF(LEN(P16)=1,"",RIGHT(P16,LEN(P16)-2))</f>
        <v/>
      </c>
      <c r="Q52" s="7">
        <f>IF(LEN(Q16)=1,"",RIGHT(Q16,LEN(Q16)-2))</f>
        <v/>
      </c>
      <c r="R52" s="7">
        <f>IF(LEN(R16)=1,"",RIGHT(R16,LEN(R16)-2))</f>
        <v/>
      </c>
      <c r="S52" s="7">
        <f>IF(LEN(S16)=1,"",RIGHT(S16,LEN(S16)-2))</f>
        <v/>
      </c>
      <c r="T52" s="7">
        <f>IF(LEN(T16)=1,"",RIGHT(T16,LEN(T16)-2))</f>
        <v/>
      </c>
      <c r="U52" s="7">
        <f>IF(LEN(U16)=1,"",RIGHT(U16,LEN(U16)-2))</f>
        <v/>
      </c>
      <c r="V52" s="7">
        <f>IF(LEN(V16)=1,"",RIGHT(V16,LEN(V16)-2))</f>
        <v/>
      </c>
      <c r="W52" s="7">
        <f>IF(LEN(W16)=1,"",RIGHT(W16,LEN(W16)-2))</f>
        <v/>
      </c>
      <c r="X52" s="7">
        <f>IF(LEN(X16)=1,"",RIGHT(X16,LEN(X16)-2))</f>
        <v/>
      </c>
      <c r="Y52" s="7">
        <f>IF(LEN(Y16)=1,"",RIGHT(Y16,LEN(Y16)-2))</f>
        <v/>
      </c>
      <c r="Z52" s="7">
        <f>IF(LEN(Z16)=1,"",RIGHT(Z16,LEN(Z16)-2))</f>
        <v/>
      </c>
      <c r="AA52" s="7">
        <f>IF(LEN(AA16)=1,"",RIGHT(AA16,LEN(AA16)-2))</f>
        <v/>
      </c>
      <c r="AB52" s="7">
        <f>IF(LEN(AB16)=1,"",RIGHT(AB16,LEN(AB16)-2))</f>
        <v/>
      </c>
      <c r="AC52" s="7">
        <f>IF(LEN(AC16)=1,"",RIGHT(AC16,LEN(AC16)-2))</f>
        <v/>
      </c>
      <c r="AD52" s="7">
        <f>IF(LEN(AD16)=1,"",RIGHT(AD16,LEN(AD16)-2))</f>
        <v/>
      </c>
      <c r="AE52" s="7">
        <f>IF(LEN(AE16)=1,"",RIGHT(AE16,LEN(AE16)-2))</f>
        <v/>
      </c>
      <c r="AF52" s="7">
        <f>IF(LEN(AF16)=1,"",RIGHT(AF16,LEN(AF16)-2))</f>
        <v/>
      </c>
      <c r="AG52" s="7">
        <f>IF(LEN(AG16)=1,"",RIGHT(AG16,LEN(AG16)-2))</f>
        <v/>
      </c>
    </row>
    <row r="53">
      <c r="A53" s="22" t="inlineStr">
        <is>
          <t>Staff 15</t>
        </is>
      </c>
      <c r="B53" s="26">
        <f t="array" ref="B53">IFERROR(IF(ROUNDUP(SUMPRODUCT(1/COUNTIF(C53:AG53,C53:AG53)),0)&lt;=2, "Passed", "Failed"),"Failed")</f>
        <v/>
      </c>
      <c r="C53" s="7">
        <f>IF(LEN(C17)=1,"",RIGHT(C17,LEN(C17)-2))</f>
        <v/>
      </c>
      <c r="D53" s="7">
        <f>IF(LEN(D17)=1,"",RIGHT(D17,LEN(D17)-2))</f>
        <v/>
      </c>
      <c r="E53" s="7">
        <f>IF(LEN(E17)=1,"",RIGHT(E17,LEN(E17)-2))</f>
        <v/>
      </c>
      <c r="F53" s="7">
        <f>IF(LEN(F17)=1,"",RIGHT(F17,LEN(F17)-2))</f>
        <v/>
      </c>
      <c r="G53" s="7">
        <f>IF(LEN(G17)=1,"",RIGHT(G17,LEN(G17)-2))</f>
        <v/>
      </c>
      <c r="H53" s="7">
        <f>IF(LEN(H17)=1,"",RIGHT(H17,LEN(H17)-2))</f>
        <v/>
      </c>
      <c r="I53" s="7">
        <f>IF(LEN(I17)=1,"",RIGHT(I17,LEN(I17)-2))</f>
        <v/>
      </c>
      <c r="J53" s="7">
        <f>IF(LEN(J17)=1,"",RIGHT(J17,LEN(J17)-2))</f>
        <v/>
      </c>
      <c r="K53" s="7">
        <f>IF(LEN(K17)=1,"",RIGHT(K17,LEN(K17)-2))</f>
        <v/>
      </c>
      <c r="L53" s="7">
        <f>IF(LEN(L17)=1,"",RIGHT(L17,LEN(L17)-2))</f>
        <v/>
      </c>
      <c r="M53" s="7">
        <f>IF(LEN(M17)=1,"",RIGHT(M17,LEN(M17)-2))</f>
        <v/>
      </c>
      <c r="N53" s="7">
        <f>IF(LEN(N17)=1,"",RIGHT(N17,LEN(N17)-2))</f>
        <v/>
      </c>
      <c r="O53" s="7">
        <f>IF(LEN(O17)=1,"",RIGHT(O17,LEN(O17)-2))</f>
        <v/>
      </c>
      <c r="P53" s="7">
        <f>IF(LEN(P17)=1,"",RIGHT(P17,LEN(P17)-2))</f>
        <v/>
      </c>
      <c r="Q53" s="7">
        <f>IF(LEN(Q17)=1,"",RIGHT(Q17,LEN(Q17)-2))</f>
        <v/>
      </c>
      <c r="R53" s="7">
        <f>IF(LEN(R17)=1,"",RIGHT(R17,LEN(R17)-2))</f>
        <v/>
      </c>
      <c r="S53" s="7">
        <f>IF(LEN(S17)=1,"",RIGHT(S17,LEN(S17)-2))</f>
        <v/>
      </c>
      <c r="T53" s="7">
        <f>IF(LEN(T17)=1,"",RIGHT(T17,LEN(T17)-2))</f>
        <v/>
      </c>
      <c r="U53" s="7">
        <f>IF(LEN(U17)=1,"",RIGHT(U17,LEN(U17)-2))</f>
        <v/>
      </c>
      <c r="V53" s="7">
        <f>IF(LEN(V17)=1,"",RIGHT(V17,LEN(V17)-2))</f>
        <v/>
      </c>
      <c r="W53" s="7">
        <f>IF(LEN(W17)=1,"",RIGHT(W17,LEN(W17)-2))</f>
        <v/>
      </c>
      <c r="X53" s="7">
        <f>IF(LEN(X17)=1,"",RIGHT(X17,LEN(X17)-2))</f>
        <v/>
      </c>
      <c r="Y53" s="7">
        <f>IF(LEN(Y17)=1,"",RIGHT(Y17,LEN(Y17)-2))</f>
        <v/>
      </c>
      <c r="Z53" s="7">
        <f>IF(LEN(Z17)=1,"",RIGHT(Z17,LEN(Z17)-2))</f>
        <v/>
      </c>
      <c r="AA53" s="7">
        <f>IF(LEN(AA17)=1,"",RIGHT(AA17,LEN(AA17)-2))</f>
        <v/>
      </c>
      <c r="AB53" s="7">
        <f>IF(LEN(AB17)=1,"",RIGHT(AB17,LEN(AB17)-2))</f>
        <v/>
      </c>
      <c r="AC53" s="7">
        <f>IF(LEN(AC17)=1,"",RIGHT(AC17,LEN(AC17)-2))</f>
        <v/>
      </c>
      <c r="AD53" s="7">
        <f>IF(LEN(AD17)=1,"",RIGHT(AD17,LEN(AD17)-2))</f>
        <v/>
      </c>
      <c r="AE53" s="7">
        <f>IF(LEN(AE17)=1,"",RIGHT(AE17,LEN(AE17)-2))</f>
        <v/>
      </c>
      <c r="AF53" s="7">
        <f>IF(LEN(AF17)=1,"",RIGHT(AF17,LEN(AF17)-2))</f>
        <v/>
      </c>
      <c r="AG53" s="7">
        <f>IF(LEN(AG17)=1,"",RIGHT(AG17,LEN(AG17)-2))</f>
        <v/>
      </c>
    </row>
    <row r="54">
      <c r="A54" s="22" t="inlineStr">
        <is>
          <t>Staff 16</t>
        </is>
      </c>
      <c r="B54" s="26">
        <f t="array" ref="B54">IFERROR(IF(ROUNDUP(SUMPRODUCT(1/COUNTIF(C54:AG54,C54:AG54)),0)&lt;=2, "Passed", "Failed"),"Failed")</f>
        <v/>
      </c>
      <c r="C54" s="7">
        <f>IF(LEN(C18)=1,"",RIGHT(C18,LEN(C18)-2))</f>
        <v/>
      </c>
      <c r="D54" s="7">
        <f>IF(LEN(D18)=1,"",RIGHT(D18,LEN(D18)-2))</f>
        <v/>
      </c>
      <c r="E54" s="7">
        <f>IF(LEN(E18)=1,"",RIGHT(E18,LEN(E18)-2))</f>
        <v/>
      </c>
      <c r="F54" s="7">
        <f>IF(LEN(F18)=1,"",RIGHT(F18,LEN(F18)-2))</f>
        <v/>
      </c>
      <c r="G54" s="7">
        <f>IF(LEN(G18)=1,"",RIGHT(G18,LEN(G18)-2))</f>
        <v/>
      </c>
      <c r="H54" s="7">
        <f>IF(LEN(H18)=1,"",RIGHT(H18,LEN(H18)-2))</f>
        <v/>
      </c>
      <c r="I54" s="7">
        <f>IF(LEN(I18)=1,"",RIGHT(I18,LEN(I18)-2))</f>
        <v/>
      </c>
      <c r="J54" s="7">
        <f>IF(LEN(J18)=1,"",RIGHT(J18,LEN(J18)-2))</f>
        <v/>
      </c>
      <c r="K54" s="7">
        <f>IF(LEN(K18)=1,"",RIGHT(K18,LEN(K18)-2))</f>
        <v/>
      </c>
      <c r="L54" s="7">
        <f>IF(LEN(L18)=1,"",RIGHT(L18,LEN(L18)-2))</f>
        <v/>
      </c>
      <c r="M54" s="7">
        <f>IF(LEN(M18)=1,"",RIGHT(M18,LEN(M18)-2))</f>
        <v/>
      </c>
      <c r="N54" s="7">
        <f>IF(LEN(N18)=1,"",RIGHT(N18,LEN(N18)-2))</f>
        <v/>
      </c>
      <c r="O54" s="7">
        <f>IF(LEN(O18)=1,"",RIGHT(O18,LEN(O18)-2))</f>
        <v/>
      </c>
      <c r="P54" s="7">
        <f>IF(LEN(P18)=1,"",RIGHT(P18,LEN(P18)-2))</f>
        <v/>
      </c>
      <c r="Q54" s="7">
        <f>IF(LEN(Q18)=1,"",RIGHT(Q18,LEN(Q18)-2))</f>
        <v/>
      </c>
      <c r="R54" s="7">
        <f>IF(LEN(R18)=1,"",RIGHT(R18,LEN(R18)-2))</f>
        <v/>
      </c>
      <c r="S54" s="7">
        <f>IF(LEN(S18)=1,"",RIGHT(S18,LEN(S18)-2))</f>
        <v/>
      </c>
      <c r="T54" s="7">
        <f>IF(LEN(T18)=1,"",RIGHT(T18,LEN(T18)-2))</f>
        <v/>
      </c>
      <c r="U54" s="7">
        <f>IF(LEN(U18)=1,"",RIGHT(U18,LEN(U18)-2))</f>
        <v/>
      </c>
      <c r="V54" s="7">
        <f>IF(LEN(V18)=1,"",RIGHT(V18,LEN(V18)-2))</f>
        <v/>
      </c>
      <c r="W54" s="7">
        <f>IF(LEN(W18)=1,"",RIGHT(W18,LEN(W18)-2))</f>
        <v/>
      </c>
      <c r="X54" s="7">
        <f>IF(LEN(X18)=1,"",RIGHT(X18,LEN(X18)-2))</f>
        <v/>
      </c>
      <c r="Y54" s="7">
        <f>IF(LEN(Y18)=1,"",RIGHT(Y18,LEN(Y18)-2))</f>
        <v/>
      </c>
      <c r="Z54" s="7">
        <f>IF(LEN(Z18)=1,"",RIGHT(Z18,LEN(Z18)-2))</f>
        <v/>
      </c>
      <c r="AA54" s="7">
        <f>IF(LEN(AA18)=1,"",RIGHT(AA18,LEN(AA18)-2))</f>
        <v/>
      </c>
      <c r="AB54" s="7">
        <f>IF(LEN(AB18)=1,"",RIGHT(AB18,LEN(AB18)-2))</f>
        <v/>
      </c>
      <c r="AC54" s="7">
        <f>IF(LEN(AC18)=1,"",RIGHT(AC18,LEN(AC18)-2))</f>
        <v/>
      </c>
      <c r="AD54" s="7">
        <f>IF(LEN(AD18)=1,"",RIGHT(AD18,LEN(AD18)-2))</f>
        <v/>
      </c>
      <c r="AE54" s="7">
        <f>IF(LEN(AE18)=1,"",RIGHT(AE18,LEN(AE18)-2))</f>
        <v/>
      </c>
      <c r="AF54" s="7">
        <f>IF(LEN(AF18)=1,"",RIGHT(AF18,LEN(AF18)-2))</f>
        <v/>
      </c>
      <c r="AG54" s="7">
        <f>IF(LEN(AG18)=1,"",RIGHT(AG18,LEN(AG18)-2))</f>
        <v/>
      </c>
    </row>
    <row r="55">
      <c r="A55" s="22" t="inlineStr">
        <is>
          <t>Staff 17</t>
        </is>
      </c>
      <c r="B55" s="26">
        <f t="array" ref="B55">IFERROR(IF(ROUNDUP(SUMPRODUCT(1/COUNTIF(C55:AG55,C55:AG55)),0)&lt;=2, "Passed", "Failed"),"Failed")</f>
        <v/>
      </c>
      <c r="C55" s="7">
        <f>IF(LEN(C19)=1,"",RIGHT(C19,LEN(C19)-2))</f>
        <v/>
      </c>
      <c r="D55" s="7">
        <f>IF(LEN(D19)=1,"",RIGHT(D19,LEN(D19)-2))</f>
        <v/>
      </c>
      <c r="E55" s="7">
        <f>IF(LEN(E19)=1,"",RIGHT(E19,LEN(E19)-2))</f>
        <v/>
      </c>
      <c r="F55" s="7">
        <f>IF(LEN(F19)=1,"",RIGHT(F19,LEN(F19)-2))</f>
        <v/>
      </c>
      <c r="G55" s="7">
        <f>IF(LEN(G19)=1,"",RIGHT(G19,LEN(G19)-2))</f>
        <v/>
      </c>
      <c r="H55" s="7">
        <f>IF(LEN(H19)=1,"",RIGHT(H19,LEN(H19)-2))</f>
        <v/>
      </c>
      <c r="I55" s="7">
        <f>IF(LEN(I19)=1,"",RIGHT(I19,LEN(I19)-2))</f>
        <v/>
      </c>
      <c r="J55" s="7">
        <f>IF(LEN(J19)=1,"",RIGHT(J19,LEN(J19)-2))</f>
        <v/>
      </c>
      <c r="K55" s="7">
        <f>IF(LEN(K19)=1,"",RIGHT(K19,LEN(K19)-2))</f>
        <v/>
      </c>
      <c r="L55" s="7">
        <f>IF(LEN(L19)=1,"",RIGHT(L19,LEN(L19)-2))</f>
        <v/>
      </c>
      <c r="M55" s="7">
        <f>IF(LEN(M19)=1,"",RIGHT(M19,LEN(M19)-2))</f>
        <v/>
      </c>
      <c r="N55" s="7">
        <f>IF(LEN(N19)=1,"",RIGHT(N19,LEN(N19)-2))</f>
        <v/>
      </c>
      <c r="O55" s="7">
        <f>IF(LEN(O19)=1,"",RIGHT(O19,LEN(O19)-2))</f>
        <v/>
      </c>
      <c r="P55" s="7">
        <f>IF(LEN(P19)=1,"",RIGHT(P19,LEN(P19)-2))</f>
        <v/>
      </c>
      <c r="Q55" s="7">
        <f>IF(LEN(Q19)=1,"",RIGHT(Q19,LEN(Q19)-2))</f>
        <v/>
      </c>
      <c r="R55" s="7">
        <f>IF(LEN(R19)=1,"",RIGHT(R19,LEN(R19)-2))</f>
        <v/>
      </c>
      <c r="S55" s="7">
        <f>IF(LEN(S19)=1,"",RIGHT(S19,LEN(S19)-2))</f>
        <v/>
      </c>
      <c r="T55" s="7">
        <f>IF(LEN(T19)=1,"",RIGHT(T19,LEN(T19)-2))</f>
        <v/>
      </c>
      <c r="U55" s="7">
        <f>IF(LEN(U19)=1,"",RIGHT(U19,LEN(U19)-2))</f>
        <v/>
      </c>
      <c r="V55" s="7">
        <f>IF(LEN(V19)=1,"",RIGHT(V19,LEN(V19)-2))</f>
        <v/>
      </c>
      <c r="W55" s="7">
        <f>IF(LEN(W19)=1,"",RIGHT(W19,LEN(W19)-2))</f>
        <v/>
      </c>
      <c r="X55" s="7">
        <f>IF(LEN(X19)=1,"",RIGHT(X19,LEN(X19)-2))</f>
        <v/>
      </c>
      <c r="Y55" s="7">
        <f>IF(LEN(Y19)=1,"",RIGHT(Y19,LEN(Y19)-2))</f>
        <v/>
      </c>
      <c r="Z55" s="7">
        <f>IF(LEN(Z19)=1,"",RIGHT(Z19,LEN(Z19)-2))</f>
        <v/>
      </c>
      <c r="AA55" s="7">
        <f>IF(LEN(AA19)=1,"",RIGHT(AA19,LEN(AA19)-2))</f>
        <v/>
      </c>
      <c r="AB55" s="7">
        <f>IF(LEN(AB19)=1,"",RIGHT(AB19,LEN(AB19)-2))</f>
        <v/>
      </c>
      <c r="AC55" s="7">
        <f>IF(LEN(AC19)=1,"",RIGHT(AC19,LEN(AC19)-2))</f>
        <v/>
      </c>
      <c r="AD55" s="7">
        <f>IF(LEN(AD19)=1,"",RIGHT(AD19,LEN(AD19)-2))</f>
        <v/>
      </c>
      <c r="AE55" s="7">
        <f>IF(LEN(AE19)=1,"",RIGHT(AE19,LEN(AE19)-2))</f>
        <v/>
      </c>
      <c r="AF55" s="7">
        <f>IF(LEN(AF19)=1,"",RIGHT(AF19,LEN(AF19)-2))</f>
        <v/>
      </c>
      <c r="AG55" s="7">
        <f>IF(LEN(AG19)=1,"",RIGHT(AG19,LEN(AG19)-2))</f>
        <v/>
      </c>
    </row>
    <row r="56">
      <c r="A56" s="22" t="inlineStr">
        <is>
          <t>Staff 18</t>
        </is>
      </c>
      <c r="B56" s="26">
        <f t="array" ref="B56">IFERROR(IF(ROUNDUP(SUMPRODUCT(1/COUNTIF(C56:AG56,C56:AG56)),0)&lt;=2, "Passed", "Failed"),"Failed")</f>
        <v/>
      </c>
      <c r="C56" s="7">
        <f>IF(LEN(C20)=1,"",RIGHT(C20,LEN(C20)-2))</f>
        <v/>
      </c>
      <c r="D56" s="7">
        <f>IF(LEN(D20)=1,"",RIGHT(D20,LEN(D20)-2))</f>
        <v/>
      </c>
      <c r="E56" s="7">
        <f>IF(LEN(E20)=1,"",RIGHT(E20,LEN(E20)-2))</f>
        <v/>
      </c>
      <c r="F56" s="7">
        <f>IF(LEN(F20)=1,"",RIGHT(F20,LEN(F20)-2))</f>
        <v/>
      </c>
      <c r="G56" s="7">
        <f>IF(LEN(G20)=1,"",RIGHT(G20,LEN(G20)-2))</f>
        <v/>
      </c>
      <c r="H56" s="7">
        <f>IF(LEN(H20)=1,"",RIGHT(H20,LEN(H20)-2))</f>
        <v/>
      </c>
      <c r="I56" s="7">
        <f>IF(LEN(I20)=1,"",RIGHT(I20,LEN(I20)-2))</f>
        <v/>
      </c>
      <c r="J56" s="7">
        <f>IF(LEN(J20)=1,"",RIGHT(J20,LEN(J20)-2))</f>
        <v/>
      </c>
      <c r="K56" s="7">
        <f>IF(LEN(K20)=1,"",RIGHT(K20,LEN(K20)-2))</f>
        <v/>
      </c>
      <c r="L56" s="7">
        <f>IF(LEN(L20)=1,"",RIGHT(L20,LEN(L20)-2))</f>
        <v/>
      </c>
      <c r="M56" s="7">
        <f>IF(LEN(M20)=1,"",RIGHT(M20,LEN(M20)-2))</f>
        <v/>
      </c>
      <c r="N56" s="7">
        <f>IF(LEN(N20)=1,"",RIGHT(N20,LEN(N20)-2))</f>
        <v/>
      </c>
      <c r="O56" s="7">
        <f>IF(LEN(O20)=1,"",RIGHT(O20,LEN(O20)-2))</f>
        <v/>
      </c>
      <c r="P56" s="7">
        <f>IF(LEN(P20)=1,"",RIGHT(P20,LEN(P20)-2))</f>
        <v/>
      </c>
      <c r="Q56" s="7">
        <f>IF(LEN(Q20)=1,"",RIGHT(Q20,LEN(Q20)-2))</f>
        <v/>
      </c>
      <c r="R56" s="7">
        <f>IF(LEN(R20)=1,"",RIGHT(R20,LEN(R20)-2))</f>
        <v/>
      </c>
      <c r="S56" s="7">
        <f>IF(LEN(S20)=1,"",RIGHT(S20,LEN(S20)-2))</f>
        <v/>
      </c>
      <c r="T56" s="7">
        <f>IF(LEN(T20)=1,"",RIGHT(T20,LEN(T20)-2))</f>
        <v/>
      </c>
      <c r="U56" s="7">
        <f>IF(LEN(U20)=1,"",RIGHT(U20,LEN(U20)-2))</f>
        <v/>
      </c>
      <c r="V56" s="7">
        <f>IF(LEN(V20)=1,"",RIGHT(V20,LEN(V20)-2))</f>
        <v/>
      </c>
      <c r="W56" s="7">
        <f>IF(LEN(W20)=1,"",RIGHT(W20,LEN(W20)-2))</f>
        <v/>
      </c>
      <c r="X56" s="7">
        <f>IF(LEN(X20)=1,"",RIGHT(X20,LEN(X20)-2))</f>
        <v/>
      </c>
      <c r="Y56" s="7">
        <f>IF(LEN(Y20)=1,"",RIGHT(Y20,LEN(Y20)-2))</f>
        <v/>
      </c>
      <c r="Z56" s="7">
        <f>IF(LEN(Z20)=1,"",RIGHT(Z20,LEN(Z20)-2))</f>
        <v/>
      </c>
      <c r="AA56" s="7">
        <f>IF(LEN(AA20)=1,"",RIGHT(AA20,LEN(AA20)-2))</f>
        <v/>
      </c>
      <c r="AB56" s="7">
        <f>IF(LEN(AB20)=1,"",RIGHT(AB20,LEN(AB20)-2))</f>
        <v/>
      </c>
      <c r="AC56" s="7">
        <f>IF(LEN(AC20)=1,"",RIGHT(AC20,LEN(AC20)-2))</f>
        <v/>
      </c>
      <c r="AD56" s="7">
        <f>IF(LEN(AD20)=1,"",RIGHT(AD20,LEN(AD20)-2))</f>
        <v/>
      </c>
      <c r="AE56" s="7">
        <f>IF(LEN(AE20)=1,"",RIGHT(AE20,LEN(AE20)-2))</f>
        <v/>
      </c>
      <c r="AF56" s="7">
        <f>IF(LEN(AF20)=1,"",RIGHT(AF20,LEN(AF20)-2))</f>
        <v/>
      </c>
      <c r="AG56" s="7">
        <f>IF(LEN(AG20)=1,"",RIGHT(AG20,LEN(AG20)-2))</f>
        <v/>
      </c>
    </row>
    <row r="57">
      <c r="A57" s="23" t="inlineStr">
        <is>
          <t>Staff 19</t>
        </is>
      </c>
      <c r="B57" s="26">
        <f t="array" ref="B57">IFERROR(IF(ROUNDUP(SUMPRODUCT(1/COUNTIF(C57:AG57,C57:AG57)),0)&lt;=2, "Passed", "Failed"),"Failed")</f>
        <v/>
      </c>
      <c r="C57" s="7">
        <f>IF(LEN(C21)=1,"",RIGHT(C21,LEN(C21)-2))</f>
        <v/>
      </c>
      <c r="D57" s="7">
        <f>IF(LEN(D21)=1,"",RIGHT(D21,LEN(D21)-2))</f>
        <v/>
      </c>
      <c r="E57" s="7">
        <f>IF(LEN(E21)=1,"",RIGHT(E21,LEN(E21)-2))</f>
        <v/>
      </c>
      <c r="F57" s="7">
        <f>IF(LEN(F21)=1,"",RIGHT(F21,LEN(F21)-2))</f>
        <v/>
      </c>
      <c r="G57" s="7">
        <f>IF(LEN(G21)=1,"",RIGHT(G21,LEN(G21)-2))</f>
        <v/>
      </c>
      <c r="H57" s="7">
        <f>IF(LEN(H21)=1,"",RIGHT(H21,LEN(H21)-2))</f>
        <v/>
      </c>
      <c r="I57" s="7">
        <f>IF(LEN(I21)=1,"",RIGHT(I21,LEN(I21)-2))</f>
        <v/>
      </c>
      <c r="J57" s="7">
        <f>IF(LEN(J21)=1,"",RIGHT(J21,LEN(J21)-2))</f>
        <v/>
      </c>
      <c r="K57" s="7">
        <f>IF(LEN(K21)=1,"",RIGHT(K21,LEN(K21)-2))</f>
        <v/>
      </c>
      <c r="L57" s="7">
        <f>IF(LEN(L21)=1,"",RIGHT(L21,LEN(L21)-2))</f>
        <v/>
      </c>
      <c r="M57" s="7">
        <f>IF(LEN(M21)=1,"",RIGHT(M21,LEN(M21)-2))</f>
        <v/>
      </c>
      <c r="N57" s="7">
        <f>IF(LEN(N21)=1,"",RIGHT(N21,LEN(N21)-2))</f>
        <v/>
      </c>
      <c r="O57" s="7">
        <f>IF(LEN(O21)=1,"",RIGHT(O21,LEN(O21)-2))</f>
        <v/>
      </c>
      <c r="P57" s="7">
        <f>IF(LEN(P21)=1,"",RIGHT(P21,LEN(P21)-2))</f>
        <v/>
      </c>
      <c r="Q57" s="7">
        <f>IF(LEN(Q21)=1,"",RIGHT(Q21,LEN(Q21)-2))</f>
        <v/>
      </c>
      <c r="R57" s="7">
        <f>IF(LEN(R21)=1,"",RIGHT(R21,LEN(R21)-2))</f>
        <v/>
      </c>
      <c r="S57" s="7">
        <f>IF(LEN(S21)=1,"",RIGHT(S21,LEN(S21)-2))</f>
        <v/>
      </c>
      <c r="T57" s="7">
        <f>IF(LEN(T21)=1,"",RIGHT(T21,LEN(T21)-2))</f>
        <v/>
      </c>
      <c r="U57" s="7">
        <f>IF(LEN(U21)=1,"",RIGHT(U21,LEN(U21)-2))</f>
        <v/>
      </c>
      <c r="V57" s="7">
        <f>IF(LEN(V21)=1,"",RIGHT(V21,LEN(V21)-2))</f>
        <v/>
      </c>
      <c r="W57" s="7">
        <f>IF(LEN(W21)=1,"",RIGHT(W21,LEN(W21)-2))</f>
        <v/>
      </c>
      <c r="X57" s="7">
        <f>IF(LEN(X21)=1,"",RIGHT(X21,LEN(X21)-2))</f>
        <v/>
      </c>
      <c r="Y57" s="7">
        <f>IF(LEN(Y21)=1,"",RIGHT(Y21,LEN(Y21)-2))</f>
        <v/>
      </c>
      <c r="Z57" s="7">
        <f>IF(LEN(Z21)=1,"",RIGHT(Z21,LEN(Z21)-2))</f>
        <v/>
      </c>
      <c r="AA57" s="7">
        <f>IF(LEN(AA21)=1,"",RIGHT(AA21,LEN(AA21)-2))</f>
        <v/>
      </c>
      <c r="AB57" s="7">
        <f>IF(LEN(AB21)=1,"",RIGHT(AB21,LEN(AB21)-2))</f>
        <v/>
      </c>
      <c r="AC57" s="7">
        <f>IF(LEN(AC21)=1,"",RIGHT(AC21,LEN(AC21)-2))</f>
        <v/>
      </c>
      <c r="AD57" s="7">
        <f>IF(LEN(AD21)=1,"",RIGHT(AD21,LEN(AD21)-2))</f>
        <v/>
      </c>
      <c r="AE57" s="7">
        <f>IF(LEN(AE21)=1,"",RIGHT(AE21,LEN(AE21)-2))</f>
        <v/>
      </c>
      <c r="AF57" s="7">
        <f>IF(LEN(AF21)=1,"",RIGHT(AF21,LEN(AF21)-2))</f>
        <v/>
      </c>
      <c r="AG57" s="7">
        <f>IF(LEN(AG21)=1,"",RIGHT(AG21,LEN(AG21)-2))</f>
        <v/>
      </c>
    </row>
  </sheetData>
  <conditionalFormatting sqref="B39:B57">
    <cfRule type="cellIs" priority="7" operator="equal" dxfId="1">
      <formula>"Passed"</formula>
    </cfRule>
    <cfRule type="cellIs" priority="8" operator="equal" dxfId="0">
      <formula>"Failed"</formula>
    </cfRule>
  </conditionalFormatting>
  <conditionalFormatting sqref="C3:AG21">
    <cfRule type="beginsWith" priority="1" operator="beginsWith" dxfId="7" text="O">
      <formula>LEFT((C3),LEN("O"))=("O")</formula>
    </cfRule>
    <cfRule type="beginsWith" priority="2" operator="beginsWith" dxfId="6" text="M">
      <formula>LEFT((C3),LEN("M"))=("M")</formula>
    </cfRule>
    <cfRule type="beginsWith" priority="3" operator="beginsWith" dxfId="5" text="A">
      <formula>LEFT((C3),LEN("A"))=("A")</formula>
    </cfRule>
    <cfRule type="beginsWith" priority="4" operator="beginsWith" dxfId="4" text="N">
      <formula>LEFT((C3),LEN("N"))=("N")</formula>
    </cfRule>
  </conditionalFormatting>
  <conditionalFormatting sqref="C25:AG36">
    <cfRule type="cellIs" priority="5" operator="equal" dxfId="1">
      <formula>"Passed"</formula>
    </cfRule>
    <cfRule type="cellIs" priority="6" operator="equal" dxfId="0">
      <formula>"Failed"</formula>
    </cfRule>
  </conditionalFormatting>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AI104"/>
  <sheetViews>
    <sheetView workbookViewId="0">
      <selection activeCell="A104" sqref="A104"/>
    </sheetView>
  </sheetViews>
  <sheetFormatPr baseColWidth="8" defaultColWidth="12.6640625" defaultRowHeight="15.75" customHeight="1"/>
  <cols>
    <col width="7.109375" customWidth="1" min="1" max="1"/>
    <col width="7.44140625" customWidth="1" min="2" max="2"/>
    <col width="11.44140625" customWidth="1" min="3" max="3"/>
    <col width="6.6640625" customWidth="1" min="4" max="4"/>
    <col width="8.21875" customWidth="1" min="5" max="5"/>
    <col width="9" customWidth="1" min="6" max="6"/>
    <col width="6.6640625" customWidth="1" min="7" max="35"/>
  </cols>
  <sheetData>
    <row r="1">
      <c r="A1" s="1" t="inlineStr">
        <is>
          <t>Schedule Table</t>
        </is>
      </c>
      <c r="B1" s="18" t="n"/>
      <c r="C1" s="18" t="n"/>
      <c r="D1" s="18" t="n"/>
      <c r="E1" s="18" t="n"/>
      <c r="F1" s="18" t="n"/>
      <c r="G1" s="18" t="n"/>
      <c r="H1" s="18" t="n"/>
      <c r="I1" s="18" t="n"/>
      <c r="J1" s="18" t="n"/>
      <c r="K1" s="18" t="n"/>
      <c r="L1" s="18" t="n"/>
      <c r="M1" s="18" t="n"/>
      <c r="N1" s="18" t="n"/>
      <c r="O1" s="18" t="n"/>
      <c r="P1" s="18" t="n"/>
      <c r="Q1" s="18" t="n"/>
      <c r="R1" s="18" t="n"/>
      <c r="S1" s="18" t="n"/>
      <c r="T1" s="18" t="n"/>
      <c r="U1" s="18" t="n"/>
      <c r="V1" s="18" t="n"/>
      <c r="W1" s="18" t="n"/>
      <c r="X1" s="18" t="n"/>
      <c r="Y1" s="18" t="n"/>
      <c r="Z1" s="18" t="n"/>
      <c r="AA1" s="18" t="n"/>
      <c r="AB1" s="18" t="n"/>
      <c r="AC1" s="18" t="n"/>
      <c r="AD1" s="18" t="n"/>
      <c r="AE1" s="18" t="n"/>
      <c r="AF1" s="18" t="n"/>
      <c r="AG1" s="18" t="n"/>
      <c r="AH1" s="17" t="n"/>
      <c r="AI1" s="17" t="n"/>
    </row>
    <row r="2">
      <c r="B2" s="19" t="n"/>
      <c r="C2" s="20" t="inlineStr">
        <is>
          <t>Day 1</t>
        </is>
      </c>
      <c r="D2" s="20" t="inlineStr">
        <is>
          <t>Day 2</t>
        </is>
      </c>
      <c r="E2" s="20" t="inlineStr">
        <is>
          <t>Day 3</t>
        </is>
      </c>
      <c r="F2" s="20" t="inlineStr">
        <is>
          <t>Day 4</t>
        </is>
      </c>
      <c r="G2" s="20" t="inlineStr">
        <is>
          <t>Day 5</t>
        </is>
      </c>
      <c r="H2" s="20" t="inlineStr">
        <is>
          <t>Day 6</t>
        </is>
      </c>
      <c r="I2" s="20" t="inlineStr">
        <is>
          <t>Day 7</t>
        </is>
      </c>
      <c r="J2" s="20" t="inlineStr">
        <is>
          <t>Day 8</t>
        </is>
      </c>
      <c r="K2" s="20" t="inlineStr">
        <is>
          <t>Day 9</t>
        </is>
      </c>
      <c r="L2" s="20" t="inlineStr">
        <is>
          <t>Day 10</t>
        </is>
      </c>
      <c r="M2" s="20" t="inlineStr">
        <is>
          <t>Day 11</t>
        </is>
      </c>
      <c r="N2" s="20" t="inlineStr">
        <is>
          <t>Day 12</t>
        </is>
      </c>
      <c r="O2" s="20" t="inlineStr">
        <is>
          <t>Day 13</t>
        </is>
      </c>
      <c r="P2" s="20" t="inlineStr">
        <is>
          <t>Day 14</t>
        </is>
      </c>
      <c r="Q2" s="20" t="inlineStr">
        <is>
          <t>Day 15</t>
        </is>
      </c>
      <c r="R2" s="20" t="inlineStr">
        <is>
          <t>Day 16</t>
        </is>
      </c>
      <c r="S2" s="20" t="inlineStr">
        <is>
          <t>Day 17</t>
        </is>
      </c>
      <c r="T2" s="20" t="inlineStr">
        <is>
          <t>Day 18</t>
        </is>
      </c>
      <c r="U2" s="20" t="inlineStr">
        <is>
          <t>Day 19</t>
        </is>
      </c>
      <c r="V2" s="20" t="inlineStr">
        <is>
          <t>Day 20</t>
        </is>
      </c>
      <c r="W2" s="20" t="inlineStr">
        <is>
          <t>Day 21</t>
        </is>
      </c>
      <c r="X2" s="20" t="inlineStr">
        <is>
          <t>Day 22</t>
        </is>
      </c>
      <c r="Y2" s="20" t="inlineStr">
        <is>
          <t>Day 23</t>
        </is>
      </c>
      <c r="Z2" s="20" t="inlineStr">
        <is>
          <t>Day 24</t>
        </is>
      </c>
      <c r="AA2" s="20" t="inlineStr">
        <is>
          <t>Day 25</t>
        </is>
      </c>
      <c r="AB2" s="20" t="inlineStr">
        <is>
          <t>Day 26</t>
        </is>
      </c>
      <c r="AC2" s="20" t="inlineStr">
        <is>
          <t>Day 27</t>
        </is>
      </c>
      <c r="AD2" s="20" t="inlineStr">
        <is>
          <t>Day 28</t>
        </is>
      </c>
      <c r="AE2" s="20" t="inlineStr">
        <is>
          <t>Day 29</t>
        </is>
      </c>
      <c r="AF2" s="20" t="inlineStr">
        <is>
          <t>Day 30</t>
        </is>
      </c>
      <c r="AG2" s="21" t="inlineStr">
        <is>
          <t>Day 31</t>
        </is>
      </c>
      <c r="AH2" s="17" t="n"/>
      <c r="AI2" s="17" t="n"/>
    </row>
    <row r="3">
      <c r="B3" s="22" t="inlineStr">
        <is>
          <t>Staff 1</t>
        </is>
      </c>
      <c r="C3" s="6" t="inlineStr">
        <is>
          <t>O</t>
        </is>
      </c>
      <c r="D3" s="6" t="inlineStr">
        <is>
          <t>M Train</t>
        </is>
      </c>
      <c r="E3" s="6" t="inlineStr">
        <is>
          <t>M Train</t>
        </is>
      </c>
      <c r="F3" s="6" t="inlineStr">
        <is>
          <t>N Train</t>
        </is>
      </c>
      <c r="G3" s="6" t="inlineStr">
        <is>
          <t>N Train</t>
        </is>
      </c>
      <c r="H3" s="6" t="inlineStr">
        <is>
          <t>O</t>
        </is>
      </c>
      <c r="I3" s="6" t="inlineStr">
        <is>
          <t>A Train</t>
        </is>
      </c>
      <c r="J3" s="6" t="inlineStr">
        <is>
          <t>A Train</t>
        </is>
      </c>
      <c r="K3" s="6" t="inlineStr">
        <is>
          <t>O</t>
        </is>
      </c>
      <c r="L3" s="6" t="inlineStr">
        <is>
          <t>M Train</t>
        </is>
      </c>
      <c r="M3" s="6" t="inlineStr">
        <is>
          <t>M Train</t>
        </is>
      </c>
      <c r="N3" s="6" t="inlineStr">
        <is>
          <t>N Train</t>
        </is>
      </c>
      <c r="O3" s="6" t="inlineStr">
        <is>
          <t>N Train</t>
        </is>
      </c>
      <c r="P3" s="6" t="inlineStr">
        <is>
          <t>O</t>
        </is>
      </c>
      <c r="Q3" s="6" t="inlineStr">
        <is>
          <t>A Train</t>
        </is>
      </c>
      <c r="R3" s="6" t="inlineStr">
        <is>
          <t>A Train</t>
        </is>
      </c>
      <c r="S3" s="6" t="inlineStr">
        <is>
          <t>O</t>
        </is>
      </c>
      <c r="T3" s="6" t="inlineStr">
        <is>
          <t>M Train</t>
        </is>
      </c>
      <c r="U3" s="6" t="inlineStr">
        <is>
          <t>M Train</t>
        </is>
      </c>
      <c r="V3" s="6" t="inlineStr">
        <is>
          <t>N Train</t>
        </is>
      </c>
      <c r="W3" s="6" t="inlineStr">
        <is>
          <t>N Train</t>
        </is>
      </c>
      <c r="X3" s="6" t="inlineStr">
        <is>
          <t>O</t>
        </is>
      </c>
      <c r="Y3" s="6" t="inlineStr">
        <is>
          <t>A Train</t>
        </is>
      </c>
      <c r="Z3" s="6" t="inlineStr">
        <is>
          <t>A Train</t>
        </is>
      </c>
      <c r="AA3" s="6" t="inlineStr">
        <is>
          <t>O</t>
        </is>
      </c>
      <c r="AB3" s="6" t="inlineStr">
        <is>
          <t>M Train</t>
        </is>
      </c>
      <c r="AC3" s="6" t="inlineStr">
        <is>
          <t>M Train</t>
        </is>
      </c>
      <c r="AD3" s="6" t="inlineStr">
        <is>
          <t>N Train</t>
        </is>
      </c>
      <c r="AE3" s="6" t="inlineStr">
        <is>
          <t>N Train</t>
        </is>
      </c>
      <c r="AF3" s="6" t="inlineStr">
        <is>
          <t>O</t>
        </is>
      </c>
      <c r="AG3" s="9" t="inlineStr">
        <is>
          <t>A Train</t>
        </is>
      </c>
    </row>
    <row r="4">
      <c r="B4" s="22" t="inlineStr">
        <is>
          <t>Staff 2</t>
        </is>
      </c>
      <c r="C4" s="6" t="inlineStr">
        <is>
          <t>O</t>
        </is>
      </c>
      <c r="D4" s="6" t="inlineStr">
        <is>
          <t>M Vehicles</t>
        </is>
      </c>
      <c r="E4" s="6" t="inlineStr">
        <is>
          <t>M Vehicles</t>
        </is>
      </c>
      <c r="F4" s="6" t="inlineStr">
        <is>
          <t>N Vehicles</t>
        </is>
      </c>
      <c r="G4" s="6" t="inlineStr">
        <is>
          <t>N Vehicles</t>
        </is>
      </c>
      <c r="H4" s="6" t="inlineStr">
        <is>
          <t>O</t>
        </is>
      </c>
      <c r="I4" s="6" t="inlineStr">
        <is>
          <t>A Vehicles</t>
        </is>
      </c>
      <c r="J4" s="6" t="inlineStr">
        <is>
          <t>A Vehicles</t>
        </is>
      </c>
      <c r="K4" s="6" t="inlineStr">
        <is>
          <t>O</t>
        </is>
      </c>
      <c r="L4" s="6" t="inlineStr">
        <is>
          <t>M Vehicles</t>
        </is>
      </c>
      <c r="M4" s="6" t="inlineStr">
        <is>
          <t>M Vehicles</t>
        </is>
      </c>
      <c r="N4" s="6" t="inlineStr">
        <is>
          <t>N Vehicles</t>
        </is>
      </c>
      <c r="O4" s="6" t="inlineStr">
        <is>
          <t>N Vehicles</t>
        </is>
      </c>
      <c r="P4" s="6" t="inlineStr">
        <is>
          <t>O</t>
        </is>
      </c>
      <c r="Q4" s="6" t="inlineStr">
        <is>
          <t>A Vehicles</t>
        </is>
      </c>
      <c r="R4" s="6" t="inlineStr">
        <is>
          <t>A Vehicles</t>
        </is>
      </c>
      <c r="S4" s="6" t="inlineStr">
        <is>
          <t>O</t>
        </is>
      </c>
      <c r="T4" s="6" t="inlineStr">
        <is>
          <t>M Vehicles</t>
        </is>
      </c>
      <c r="U4" s="6" t="inlineStr">
        <is>
          <t>M Vehicles</t>
        </is>
      </c>
      <c r="V4" s="6" t="inlineStr">
        <is>
          <t>N Vehicles</t>
        </is>
      </c>
      <c r="W4" s="6" t="inlineStr">
        <is>
          <t>N Vehicles</t>
        </is>
      </c>
      <c r="X4" s="6" t="inlineStr">
        <is>
          <t>O</t>
        </is>
      </c>
      <c r="Y4" s="6" t="inlineStr">
        <is>
          <t>A Vehicles</t>
        </is>
      </c>
      <c r="Z4" s="6" t="inlineStr">
        <is>
          <t>A Vehicles</t>
        </is>
      </c>
      <c r="AA4" s="6" t="inlineStr">
        <is>
          <t>O</t>
        </is>
      </c>
      <c r="AB4" s="6" t="inlineStr">
        <is>
          <t>M Vehicles</t>
        </is>
      </c>
      <c r="AC4" s="6" t="inlineStr">
        <is>
          <t>M Vehicles</t>
        </is>
      </c>
      <c r="AD4" s="6" t="inlineStr">
        <is>
          <t>N Vehicles</t>
        </is>
      </c>
      <c r="AE4" s="6" t="inlineStr">
        <is>
          <t>N Vehicles</t>
        </is>
      </c>
      <c r="AF4" s="6" t="inlineStr">
        <is>
          <t>O</t>
        </is>
      </c>
      <c r="AG4" s="9" t="inlineStr">
        <is>
          <t>A Vehicles</t>
        </is>
      </c>
    </row>
    <row r="5">
      <c r="B5" s="22" t="inlineStr">
        <is>
          <t>Staff 3</t>
        </is>
      </c>
      <c r="C5" s="6" t="inlineStr">
        <is>
          <t>O</t>
        </is>
      </c>
      <c r="D5" s="6" t="inlineStr">
        <is>
          <t>M Pax</t>
        </is>
      </c>
      <c r="E5" s="6" t="inlineStr">
        <is>
          <t>M Pax</t>
        </is>
      </c>
      <c r="F5" s="6" t="inlineStr">
        <is>
          <t>N Pax</t>
        </is>
      </c>
      <c r="G5" s="6" t="inlineStr">
        <is>
          <t>N Pax</t>
        </is>
      </c>
      <c r="H5" s="6" t="inlineStr">
        <is>
          <t>O</t>
        </is>
      </c>
      <c r="I5" s="6" t="inlineStr">
        <is>
          <t>A Pax</t>
        </is>
      </c>
      <c r="J5" s="6" t="inlineStr">
        <is>
          <t>A Pax</t>
        </is>
      </c>
      <c r="K5" s="6" t="inlineStr">
        <is>
          <t>O</t>
        </is>
      </c>
      <c r="L5" s="6" t="inlineStr">
        <is>
          <t>M Pax</t>
        </is>
      </c>
      <c r="M5" s="6" t="inlineStr">
        <is>
          <t>M Pax</t>
        </is>
      </c>
      <c r="N5" s="6" t="inlineStr">
        <is>
          <t>N Pax</t>
        </is>
      </c>
      <c r="O5" s="6" t="inlineStr">
        <is>
          <t>N Pax</t>
        </is>
      </c>
      <c r="P5" s="6" t="inlineStr">
        <is>
          <t>O</t>
        </is>
      </c>
      <c r="Q5" s="6" t="inlineStr">
        <is>
          <t>A Pax</t>
        </is>
      </c>
      <c r="R5" s="6" t="inlineStr">
        <is>
          <t>A Pax</t>
        </is>
      </c>
      <c r="S5" s="6" t="inlineStr">
        <is>
          <t>O</t>
        </is>
      </c>
      <c r="T5" s="6" t="inlineStr">
        <is>
          <t>M Pax</t>
        </is>
      </c>
      <c r="U5" s="6" t="inlineStr">
        <is>
          <t>M Pax</t>
        </is>
      </c>
      <c r="V5" s="6" t="inlineStr">
        <is>
          <t>N Pax</t>
        </is>
      </c>
      <c r="W5" s="6" t="inlineStr">
        <is>
          <t>N Pax</t>
        </is>
      </c>
      <c r="X5" s="6" t="inlineStr">
        <is>
          <t>O</t>
        </is>
      </c>
      <c r="Y5" s="6" t="inlineStr">
        <is>
          <t>A Pax</t>
        </is>
      </c>
      <c r="Z5" s="6" t="inlineStr">
        <is>
          <t>A Pax</t>
        </is>
      </c>
      <c r="AA5" s="6" t="inlineStr">
        <is>
          <t>O</t>
        </is>
      </c>
      <c r="AB5" s="6" t="inlineStr">
        <is>
          <t>M Pax</t>
        </is>
      </c>
      <c r="AC5" s="6" t="inlineStr">
        <is>
          <t>M Pax</t>
        </is>
      </c>
      <c r="AD5" s="6" t="inlineStr">
        <is>
          <t>N Pax</t>
        </is>
      </c>
      <c r="AE5" s="6" t="inlineStr">
        <is>
          <t>N Pax</t>
        </is>
      </c>
      <c r="AF5" s="6" t="inlineStr">
        <is>
          <t>O</t>
        </is>
      </c>
      <c r="AG5" s="9" t="inlineStr">
        <is>
          <t>A Pax</t>
        </is>
      </c>
    </row>
    <row r="6">
      <c r="B6" s="22" t="inlineStr">
        <is>
          <t>Staff 4</t>
        </is>
      </c>
      <c r="C6" s="6" t="inlineStr">
        <is>
          <t>O</t>
        </is>
      </c>
      <c r="D6" s="6" t="inlineStr">
        <is>
          <t>M Train</t>
        </is>
      </c>
      <c r="E6" s="6" t="inlineStr">
        <is>
          <t>M Train</t>
        </is>
      </c>
      <c r="F6" s="6" t="inlineStr">
        <is>
          <t>N Train</t>
        </is>
      </c>
      <c r="G6" s="6" t="inlineStr">
        <is>
          <t>N Train</t>
        </is>
      </c>
      <c r="H6" s="6" t="inlineStr">
        <is>
          <t>O</t>
        </is>
      </c>
      <c r="I6" s="6" t="inlineStr">
        <is>
          <t>A Train</t>
        </is>
      </c>
      <c r="J6" s="6" t="inlineStr">
        <is>
          <t>A Train</t>
        </is>
      </c>
      <c r="K6" s="6" t="inlineStr">
        <is>
          <t>O</t>
        </is>
      </c>
      <c r="L6" s="6" t="inlineStr">
        <is>
          <t>M Train</t>
        </is>
      </c>
      <c r="M6" s="6" t="inlineStr">
        <is>
          <t>M Train</t>
        </is>
      </c>
      <c r="N6" s="6" t="inlineStr">
        <is>
          <t>N Train</t>
        </is>
      </c>
      <c r="O6" s="6" t="inlineStr">
        <is>
          <t>N Train</t>
        </is>
      </c>
      <c r="P6" s="6" t="inlineStr">
        <is>
          <t>O</t>
        </is>
      </c>
      <c r="Q6" s="6" t="inlineStr">
        <is>
          <t>A Train</t>
        </is>
      </c>
      <c r="R6" s="6" t="inlineStr">
        <is>
          <t>A Train</t>
        </is>
      </c>
      <c r="S6" s="6" t="inlineStr">
        <is>
          <t>O</t>
        </is>
      </c>
      <c r="T6" s="6" t="inlineStr">
        <is>
          <t>M Train</t>
        </is>
      </c>
      <c r="U6" s="6" t="inlineStr">
        <is>
          <t>M Train</t>
        </is>
      </c>
      <c r="V6" s="6" t="inlineStr">
        <is>
          <t>N Train</t>
        </is>
      </c>
      <c r="W6" s="6" t="inlineStr">
        <is>
          <t>N Train</t>
        </is>
      </c>
      <c r="X6" s="6" t="inlineStr">
        <is>
          <t>O</t>
        </is>
      </c>
      <c r="Y6" s="6" t="inlineStr">
        <is>
          <t>A Train</t>
        </is>
      </c>
      <c r="Z6" s="6" t="inlineStr">
        <is>
          <t>A Train</t>
        </is>
      </c>
      <c r="AA6" s="6" t="inlineStr">
        <is>
          <t>O</t>
        </is>
      </c>
      <c r="AB6" s="6" t="inlineStr">
        <is>
          <t>M Train</t>
        </is>
      </c>
      <c r="AC6" s="6" t="inlineStr">
        <is>
          <t>M Train</t>
        </is>
      </c>
      <c r="AD6" s="6" t="inlineStr">
        <is>
          <t>N Train</t>
        </is>
      </c>
      <c r="AE6" s="6" t="inlineStr">
        <is>
          <t>N Train</t>
        </is>
      </c>
      <c r="AF6" s="6" t="inlineStr">
        <is>
          <t>O</t>
        </is>
      </c>
      <c r="AG6" s="9" t="inlineStr">
        <is>
          <t>A Train</t>
        </is>
      </c>
    </row>
    <row r="7">
      <c r="B7" s="22" t="inlineStr">
        <is>
          <t>Staff 5</t>
        </is>
      </c>
      <c r="C7" s="6" t="inlineStr">
        <is>
          <t>O</t>
        </is>
      </c>
      <c r="D7" s="6" t="inlineStr">
        <is>
          <t>M Cargo</t>
        </is>
      </c>
      <c r="E7" s="6" t="inlineStr">
        <is>
          <t>M Cargo</t>
        </is>
      </c>
      <c r="F7" s="6" t="inlineStr">
        <is>
          <t>N Cargo</t>
        </is>
      </c>
      <c r="G7" s="6" t="inlineStr">
        <is>
          <t>N Cargo</t>
        </is>
      </c>
      <c r="H7" s="6" t="inlineStr">
        <is>
          <t>O</t>
        </is>
      </c>
      <c r="I7" s="6" t="inlineStr">
        <is>
          <t>A Cargo</t>
        </is>
      </c>
      <c r="J7" s="6" t="inlineStr">
        <is>
          <t>A Cargo</t>
        </is>
      </c>
      <c r="K7" s="6" t="inlineStr">
        <is>
          <t>O</t>
        </is>
      </c>
      <c r="L7" s="6" t="inlineStr">
        <is>
          <t>M Cargo</t>
        </is>
      </c>
      <c r="M7" s="6" t="inlineStr">
        <is>
          <t>M Cargo</t>
        </is>
      </c>
      <c r="N7" s="6" t="inlineStr">
        <is>
          <t>N Cargo</t>
        </is>
      </c>
      <c r="O7" s="6" t="inlineStr">
        <is>
          <t>N Cargo</t>
        </is>
      </c>
      <c r="P7" s="6" t="inlineStr">
        <is>
          <t>O</t>
        </is>
      </c>
      <c r="Q7" s="6" t="inlineStr">
        <is>
          <t>A Cargo</t>
        </is>
      </c>
      <c r="R7" s="6" t="inlineStr">
        <is>
          <t>A Cargo</t>
        </is>
      </c>
      <c r="S7" s="6" t="inlineStr">
        <is>
          <t>O</t>
        </is>
      </c>
      <c r="T7" s="6" t="inlineStr">
        <is>
          <t>M Cargo</t>
        </is>
      </c>
      <c r="U7" s="6" t="inlineStr">
        <is>
          <t>M Cargo</t>
        </is>
      </c>
      <c r="V7" s="6" t="inlineStr">
        <is>
          <t>N Cargo</t>
        </is>
      </c>
      <c r="W7" s="6" t="inlineStr">
        <is>
          <t>N Cargo</t>
        </is>
      </c>
      <c r="X7" s="6" t="inlineStr">
        <is>
          <t>O</t>
        </is>
      </c>
      <c r="Y7" s="6" t="inlineStr">
        <is>
          <t>A Cargo</t>
        </is>
      </c>
      <c r="Z7" s="6" t="inlineStr">
        <is>
          <t>A Cargo</t>
        </is>
      </c>
      <c r="AA7" s="6" t="inlineStr">
        <is>
          <t>O</t>
        </is>
      </c>
      <c r="AB7" s="6" t="inlineStr">
        <is>
          <t>M Cargo</t>
        </is>
      </c>
      <c r="AC7" s="6" t="inlineStr">
        <is>
          <t>M Cargo</t>
        </is>
      </c>
      <c r="AD7" s="6" t="inlineStr">
        <is>
          <t>N Cargo</t>
        </is>
      </c>
      <c r="AE7" s="6" t="inlineStr">
        <is>
          <t>N Cargo</t>
        </is>
      </c>
      <c r="AF7" s="6" t="inlineStr">
        <is>
          <t>O</t>
        </is>
      </c>
      <c r="AG7" s="9" t="inlineStr">
        <is>
          <t>A Cargo</t>
        </is>
      </c>
    </row>
    <row r="8">
      <c r="B8" s="22" t="inlineStr">
        <is>
          <t>Staff 6</t>
        </is>
      </c>
      <c r="C8" s="6" t="inlineStr">
        <is>
          <t>A Train</t>
        </is>
      </c>
      <c r="D8" s="6" t="inlineStr">
        <is>
          <t>A Train</t>
        </is>
      </c>
      <c r="E8" s="6" t="inlineStr">
        <is>
          <t>O</t>
        </is>
      </c>
      <c r="F8" s="6" t="inlineStr">
        <is>
          <t>M Train</t>
        </is>
      </c>
      <c r="G8" s="6" t="inlineStr">
        <is>
          <t>M Train</t>
        </is>
      </c>
      <c r="H8" s="6" t="inlineStr">
        <is>
          <t>N Train</t>
        </is>
      </c>
      <c r="I8" s="6" t="inlineStr">
        <is>
          <t>N Train</t>
        </is>
      </c>
      <c r="J8" s="6" t="inlineStr">
        <is>
          <t>O</t>
        </is>
      </c>
      <c r="K8" s="6" t="inlineStr">
        <is>
          <t>A Train</t>
        </is>
      </c>
      <c r="L8" s="6" t="inlineStr">
        <is>
          <t>A Train</t>
        </is>
      </c>
      <c r="M8" s="6" t="inlineStr">
        <is>
          <t>O</t>
        </is>
      </c>
      <c r="N8" s="6" t="inlineStr">
        <is>
          <t>M Train</t>
        </is>
      </c>
      <c r="O8" s="6" t="inlineStr">
        <is>
          <t>M Train</t>
        </is>
      </c>
      <c r="P8" s="6" t="inlineStr">
        <is>
          <t>N Train</t>
        </is>
      </c>
      <c r="Q8" s="6" t="inlineStr">
        <is>
          <t>N Train</t>
        </is>
      </c>
      <c r="R8" s="6" t="inlineStr">
        <is>
          <t>O</t>
        </is>
      </c>
      <c r="S8" s="6" t="inlineStr">
        <is>
          <t>A Train</t>
        </is>
      </c>
      <c r="T8" s="6" t="inlineStr">
        <is>
          <t>A Train</t>
        </is>
      </c>
      <c r="U8" s="6" t="inlineStr">
        <is>
          <t>O</t>
        </is>
      </c>
      <c r="V8" s="6" t="inlineStr">
        <is>
          <t>M Train</t>
        </is>
      </c>
      <c r="W8" s="6" t="inlineStr">
        <is>
          <t>M Train</t>
        </is>
      </c>
      <c r="X8" s="6" t="inlineStr">
        <is>
          <t>N Train</t>
        </is>
      </c>
      <c r="Y8" s="6" t="inlineStr">
        <is>
          <t>N Train</t>
        </is>
      </c>
      <c r="Z8" s="6" t="inlineStr">
        <is>
          <t>O</t>
        </is>
      </c>
      <c r="AA8" s="6" t="inlineStr">
        <is>
          <t>A Train</t>
        </is>
      </c>
      <c r="AB8" s="6" t="inlineStr">
        <is>
          <t>A Train</t>
        </is>
      </c>
      <c r="AC8" s="6" t="inlineStr">
        <is>
          <t>O</t>
        </is>
      </c>
      <c r="AD8" s="6" t="inlineStr">
        <is>
          <t>M Train</t>
        </is>
      </c>
      <c r="AE8" s="6" t="inlineStr">
        <is>
          <t>M Train</t>
        </is>
      </c>
      <c r="AF8" s="6" t="inlineStr">
        <is>
          <t>N Train</t>
        </is>
      </c>
      <c r="AG8" s="9" t="inlineStr">
        <is>
          <t>N Train</t>
        </is>
      </c>
    </row>
    <row r="9">
      <c r="B9" s="22" t="inlineStr">
        <is>
          <t>Staff 7</t>
        </is>
      </c>
      <c r="C9" s="6" t="inlineStr">
        <is>
          <t>A Cargo</t>
        </is>
      </c>
      <c r="D9" s="6" t="inlineStr">
        <is>
          <t>A Cargo</t>
        </is>
      </c>
      <c r="E9" s="6" t="inlineStr">
        <is>
          <t>O</t>
        </is>
      </c>
      <c r="F9" s="6" t="inlineStr">
        <is>
          <t>M Cargo</t>
        </is>
      </c>
      <c r="G9" s="6" t="inlineStr">
        <is>
          <t>M Cargo</t>
        </is>
      </c>
      <c r="H9" s="6" t="inlineStr">
        <is>
          <t>N Cargo</t>
        </is>
      </c>
      <c r="I9" s="6" t="inlineStr">
        <is>
          <t>N Cargo</t>
        </is>
      </c>
      <c r="J9" s="6" t="inlineStr">
        <is>
          <t>O</t>
        </is>
      </c>
      <c r="K9" s="6" t="inlineStr">
        <is>
          <t>A Cargo</t>
        </is>
      </c>
      <c r="L9" s="6" t="inlineStr">
        <is>
          <t>A Cargo</t>
        </is>
      </c>
      <c r="M9" s="6" t="inlineStr">
        <is>
          <t>O</t>
        </is>
      </c>
      <c r="N9" s="6" t="inlineStr">
        <is>
          <t>M Cargo</t>
        </is>
      </c>
      <c r="O9" s="6" t="inlineStr">
        <is>
          <t>M Cargo</t>
        </is>
      </c>
      <c r="P9" s="6" t="inlineStr">
        <is>
          <t>N Cargo</t>
        </is>
      </c>
      <c r="Q9" s="6" t="inlineStr">
        <is>
          <t>N Cargo</t>
        </is>
      </c>
      <c r="R9" s="6" t="inlineStr">
        <is>
          <t>O</t>
        </is>
      </c>
      <c r="S9" s="6" t="inlineStr">
        <is>
          <t>A Cargo</t>
        </is>
      </c>
      <c r="T9" s="6" t="inlineStr">
        <is>
          <t>A Cargo</t>
        </is>
      </c>
      <c r="U9" s="6" t="inlineStr">
        <is>
          <t>O</t>
        </is>
      </c>
      <c r="V9" s="6" t="inlineStr">
        <is>
          <t>M Cargo</t>
        </is>
      </c>
      <c r="W9" s="6" t="inlineStr">
        <is>
          <t>M Cargo</t>
        </is>
      </c>
      <c r="X9" s="6" t="inlineStr">
        <is>
          <t>N Cargo</t>
        </is>
      </c>
      <c r="Y9" s="6" t="inlineStr">
        <is>
          <t>N Cargo</t>
        </is>
      </c>
      <c r="Z9" s="6" t="inlineStr">
        <is>
          <t>O</t>
        </is>
      </c>
      <c r="AA9" s="6" t="inlineStr">
        <is>
          <t>A Cargo</t>
        </is>
      </c>
      <c r="AB9" s="6" t="inlineStr">
        <is>
          <t>A Cargo</t>
        </is>
      </c>
      <c r="AC9" s="6" t="inlineStr">
        <is>
          <t>O</t>
        </is>
      </c>
      <c r="AD9" s="6" t="inlineStr">
        <is>
          <t>M Cargo</t>
        </is>
      </c>
      <c r="AE9" s="6" t="inlineStr">
        <is>
          <t>M Cargo</t>
        </is>
      </c>
      <c r="AF9" s="6" t="inlineStr">
        <is>
          <t>N Cargo</t>
        </is>
      </c>
      <c r="AG9" s="9" t="inlineStr">
        <is>
          <t>N Cargo</t>
        </is>
      </c>
    </row>
    <row r="10">
      <c r="B10" s="22" t="inlineStr">
        <is>
          <t>Staff 8</t>
        </is>
      </c>
      <c r="C10" s="6" t="inlineStr">
        <is>
          <t>A Vehicles</t>
        </is>
      </c>
      <c r="D10" s="6" t="inlineStr">
        <is>
          <t>A Vehicles</t>
        </is>
      </c>
      <c r="E10" s="6" t="inlineStr">
        <is>
          <t>O</t>
        </is>
      </c>
      <c r="F10" s="6" t="inlineStr">
        <is>
          <t>M Vehicles</t>
        </is>
      </c>
      <c r="G10" s="6" t="inlineStr">
        <is>
          <t>M Vehicles</t>
        </is>
      </c>
      <c r="H10" s="6" t="inlineStr">
        <is>
          <t>N Vehicles</t>
        </is>
      </c>
      <c r="I10" s="6" t="inlineStr">
        <is>
          <t>N Vehicles</t>
        </is>
      </c>
      <c r="J10" s="6" t="inlineStr">
        <is>
          <t>O</t>
        </is>
      </c>
      <c r="K10" s="6" t="inlineStr">
        <is>
          <t>A Vehicles</t>
        </is>
      </c>
      <c r="L10" s="6" t="inlineStr">
        <is>
          <t>A Vehicles</t>
        </is>
      </c>
      <c r="M10" s="6" t="inlineStr">
        <is>
          <t>O</t>
        </is>
      </c>
      <c r="N10" s="6" t="inlineStr">
        <is>
          <t>M Vehicles</t>
        </is>
      </c>
      <c r="O10" s="6" t="inlineStr">
        <is>
          <t>M Vehicles</t>
        </is>
      </c>
      <c r="P10" s="6" t="inlineStr">
        <is>
          <t>N Vehicles</t>
        </is>
      </c>
      <c r="Q10" s="6" t="inlineStr">
        <is>
          <t>N Vehicles</t>
        </is>
      </c>
      <c r="R10" s="6" t="inlineStr">
        <is>
          <t>O</t>
        </is>
      </c>
      <c r="S10" s="6" t="inlineStr">
        <is>
          <t>A Vehicles</t>
        </is>
      </c>
      <c r="T10" s="6" t="inlineStr">
        <is>
          <t>A Vehicles</t>
        </is>
      </c>
      <c r="U10" s="6" t="inlineStr">
        <is>
          <t>O</t>
        </is>
      </c>
      <c r="V10" s="6" t="inlineStr">
        <is>
          <t>M Vehicles</t>
        </is>
      </c>
      <c r="W10" s="6" t="inlineStr">
        <is>
          <t>M Vehicles</t>
        </is>
      </c>
      <c r="X10" s="6" t="inlineStr">
        <is>
          <t>N Vehicles</t>
        </is>
      </c>
      <c r="Y10" s="6" t="inlineStr">
        <is>
          <t>N Vehicles</t>
        </is>
      </c>
      <c r="Z10" s="6" t="inlineStr">
        <is>
          <t>O</t>
        </is>
      </c>
      <c r="AA10" s="6" t="inlineStr">
        <is>
          <t>A Vehicles</t>
        </is>
      </c>
      <c r="AB10" s="6" t="inlineStr">
        <is>
          <t>A Vehicles</t>
        </is>
      </c>
      <c r="AC10" s="6" t="inlineStr">
        <is>
          <t>O</t>
        </is>
      </c>
      <c r="AD10" s="6" t="inlineStr">
        <is>
          <t>M Vehicles</t>
        </is>
      </c>
      <c r="AE10" s="6" t="inlineStr">
        <is>
          <t>M Vehicles</t>
        </is>
      </c>
      <c r="AF10" s="6" t="inlineStr">
        <is>
          <t>N Vehicles</t>
        </is>
      </c>
      <c r="AG10" s="9" t="inlineStr">
        <is>
          <t>N Vehicles</t>
        </is>
      </c>
    </row>
    <row r="11">
      <c r="B11" s="22" t="inlineStr">
        <is>
          <t>Staff 9</t>
        </is>
      </c>
      <c r="C11" s="6" t="inlineStr">
        <is>
          <t>A Pax</t>
        </is>
      </c>
      <c r="D11" s="6" t="inlineStr">
        <is>
          <t>A Pax</t>
        </is>
      </c>
      <c r="E11" s="6" t="inlineStr">
        <is>
          <t>O</t>
        </is>
      </c>
      <c r="F11" s="6" t="inlineStr">
        <is>
          <t>M Pax</t>
        </is>
      </c>
      <c r="G11" s="6" t="inlineStr">
        <is>
          <t>M Pax</t>
        </is>
      </c>
      <c r="H11" s="6" t="inlineStr">
        <is>
          <t>N Pax</t>
        </is>
      </c>
      <c r="I11" s="6" t="inlineStr">
        <is>
          <t>N Pax</t>
        </is>
      </c>
      <c r="J11" s="6" t="inlineStr">
        <is>
          <t>O</t>
        </is>
      </c>
      <c r="K11" s="6" t="inlineStr">
        <is>
          <t>A Pax</t>
        </is>
      </c>
      <c r="L11" s="6" t="inlineStr">
        <is>
          <t>A Pax</t>
        </is>
      </c>
      <c r="M11" s="6" t="inlineStr">
        <is>
          <t>O</t>
        </is>
      </c>
      <c r="N11" s="6" t="inlineStr">
        <is>
          <t>M Pax</t>
        </is>
      </c>
      <c r="O11" s="6" t="inlineStr">
        <is>
          <t>M Pax</t>
        </is>
      </c>
      <c r="P11" s="6" t="inlineStr">
        <is>
          <t>N Pax</t>
        </is>
      </c>
      <c r="Q11" s="6" t="inlineStr">
        <is>
          <t>N Pax</t>
        </is>
      </c>
      <c r="R11" s="6" t="inlineStr">
        <is>
          <t>O</t>
        </is>
      </c>
      <c r="S11" s="6" t="inlineStr">
        <is>
          <t>A Pax</t>
        </is>
      </c>
      <c r="T11" s="6" t="inlineStr">
        <is>
          <t>A Pax</t>
        </is>
      </c>
      <c r="U11" s="6" t="inlineStr">
        <is>
          <t>O</t>
        </is>
      </c>
      <c r="V11" s="6" t="inlineStr">
        <is>
          <t>M Pax</t>
        </is>
      </c>
      <c r="W11" s="6" t="inlineStr">
        <is>
          <t>M Pax</t>
        </is>
      </c>
      <c r="X11" s="6" t="inlineStr">
        <is>
          <t>N Pax</t>
        </is>
      </c>
      <c r="Y11" s="6" t="inlineStr">
        <is>
          <t>N Pax</t>
        </is>
      </c>
      <c r="Z11" s="6" t="inlineStr">
        <is>
          <t>O</t>
        </is>
      </c>
      <c r="AA11" s="6" t="inlineStr">
        <is>
          <t>A Pax</t>
        </is>
      </c>
      <c r="AB11" s="6" t="inlineStr">
        <is>
          <t>A Pax</t>
        </is>
      </c>
      <c r="AC11" s="6" t="inlineStr">
        <is>
          <t>O</t>
        </is>
      </c>
      <c r="AD11" s="6" t="inlineStr">
        <is>
          <t>M Pax</t>
        </is>
      </c>
      <c r="AE11" s="6" t="inlineStr">
        <is>
          <t>M Pax</t>
        </is>
      </c>
      <c r="AF11" s="6" t="inlineStr">
        <is>
          <t>N Pax</t>
        </is>
      </c>
      <c r="AG11" s="9" t="inlineStr">
        <is>
          <t>N Pax</t>
        </is>
      </c>
    </row>
    <row r="12">
      <c r="B12" s="22" t="inlineStr">
        <is>
          <t>Staff 10</t>
        </is>
      </c>
      <c r="C12" s="6" t="inlineStr">
        <is>
          <t>N Train</t>
        </is>
      </c>
      <c r="D12" s="6" t="inlineStr">
        <is>
          <t>O</t>
        </is>
      </c>
      <c r="E12" s="6" t="inlineStr">
        <is>
          <t>A Train</t>
        </is>
      </c>
      <c r="F12" s="6" t="inlineStr">
        <is>
          <t>A Train</t>
        </is>
      </c>
      <c r="G12" s="6" t="inlineStr">
        <is>
          <t>O</t>
        </is>
      </c>
      <c r="H12" s="6" t="inlineStr">
        <is>
          <t>M Train</t>
        </is>
      </c>
      <c r="I12" s="6" t="inlineStr">
        <is>
          <t>M Train</t>
        </is>
      </c>
      <c r="J12" s="6" t="inlineStr">
        <is>
          <t>N Train</t>
        </is>
      </c>
      <c r="K12" s="6" t="inlineStr">
        <is>
          <t>N Train</t>
        </is>
      </c>
      <c r="L12" s="6" t="inlineStr">
        <is>
          <t>O</t>
        </is>
      </c>
      <c r="M12" s="6" t="inlineStr">
        <is>
          <t>A Train</t>
        </is>
      </c>
      <c r="N12" s="6" t="inlineStr">
        <is>
          <t>A Train</t>
        </is>
      </c>
      <c r="O12" s="6" t="inlineStr">
        <is>
          <t>O</t>
        </is>
      </c>
      <c r="P12" s="6" t="inlineStr">
        <is>
          <t>M Train</t>
        </is>
      </c>
      <c r="Q12" s="6" t="inlineStr">
        <is>
          <t>M Train</t>
        </is>
      </c>
      <c r="R12" s="6" t="inlineStr">
        <is>
          <t>N Train</t>
        </is>
      </c>
      <c r="S12" s="6" t="inlineStr">
        <is>
          <t>N Train</t>
        </is>
      </c>
      <c r="T12" s="6" t="inlineStr">
        <is>
          <t>O</t>
        </is>
      </c>
      <c r="U12" s="6" t="inlineStr">
        <is>
          <t>A Train</t>
        </is>
      </c>
      <c r="V12" s="6" t="inlineStr">
        <is>
          <t>A Train</t>
        </is>
      </c>
      <c r="W12" s="6" t="inlineStr">
        <is>
          <t>O</t>
        </is>
      </c>
      <c r="X12" s="6" t="inlineStr">
        <is>
          <t>M Train</t>
        </is>
      </c>
      <c r="Y12" s="6" t="inlineStr">
        <is>
          <t>M Train</t>
        </is>
      </c>
      <c r="Z12" s="6" t="inlineStr">
        <is>
          <t>N Train</t>
        </is>
      </c>
      <c r="AA12" s="6" t="inlineStr">
        <is>
          <t>N Train</t>
        </is>
      </c>
      <c r="AB12" s="6" t="inlineStr">
        <is>
          <t>O</t>
        </is>
      </c>
      <c r="AC12" s="6" t="inlineStr">
        <is>
          <t>A Train</t>
        </is>
      </c>
      <c r="AD12" s="6" t="inlineStr">
        <is>
          <t>A Train</t>
        </is>
      </c>
      <c r="AE12" s="6" t="inlineStr">
        <is>
          <t>O</t>
        </is>
      </c>
      <c r="AF12" s="6" t="inlineStr">
        <is>
          <t>M Train</t>
        </is>
      </c>
      <c r="AG12" s="9" t="inlineStr">
        <is>
          <t>M Train</t>
        </is>
      </c>
    </row>
    <row r="13">
      <c r="B13" s="22" t="inlineStr">
        <is>
          <t>Staff 11</t>
        </is>
      </c>
      <c r="C13" s="6" t="inlineStr">
        <is>
          <t>N Cargo</t>
        </is>
      </c>
      <c r="D13" s="6" t="inlineStr">
        <is>
          <t>O</t>
        </is>
      </c>
      <c r="E13" s="6" t="inlineStr">
        <is>
          <t>A Cargo</t>
        </is>
      </c>
      <c r="F13" s="6" t="inlineStr">
        <is>
          <t>A Cargo</t>
        </is>
      </c>
      <c r="G13" s="6" t="inlineStr">
        <is>
          <t>O</t>
        </is>
      </c>
      <c r="H13" s="6" t="inlineStr">
        <is>
          <t>M Cargo</t>
        </is>
      </c>
      <c r="I13" s="6" t="inlineStr">
        <is>
          <t>M Cargo</t>
        </is>
      </c>
      <c r="J13" s="6" t="inlineStr">
        <is>
          <t>N Cargo</t>
        </is>
      </c>
      <c r="K13" s="6" t="inlineStr">
        <is>
          <t>N Cargo</t>
        </is>
      </c>
      <c r="L13" s="6" t="inlineStr">
        <is>
          <t>O</t>
        </is>
      </c>
      <c r="M13" s="6" t="inlineStr">
        <is>
          <t>A Cargo</t>
        </is>
      </c>
      <c r="N13" s="6" t="inlineStr">
        <is>
          <t>A Cargo</t>
        </is>
      </c>
      <c r="O13" s="6" t="inlineStr">
        <is>
          <t>O</t>
        </is>
      </c>
      <c r="P13" s="6" t="inlineStr">
        <is>
          <t>M Cargo</t>
        </is>
      </c>
      <c r="Q13" s="6" t="inlineStr">
        <is>
          <t>M Cargo</t>
        </is>
      </c>
      <c r="R13" s="6" t="inlineStr">
        <is>
          <t>N Cargo</t>
        </is>
      </c>
      <c r="S13" s="6" t="inlineStr">
        <is>
          <t>N Cargo</t>
        </is>
      </c>
      <c r="T13" s="6" t="inlineStr">
        <is>
          <t>O</t>
        </is>
      </c>
      <c r="U13" s="6" t="inlineStr">
        <is>
          <t>A Cargo</t>
        </is>
      </c>
      <c r="V13" s="6" t="inlineStr">
        <is>
          <t>A Cargo</t>
        </is>
      </c>
      <c r="W13" s="6" t="inlineStr">
        <is>
          <t>O</t>
        </is>
      </c>
      <c r="X13" s="6" t="inlineStr">
        <is>
          <t>M Cargo</t>
        </is>
      </c>
      <c r="Y13" s="6" t="inlineStr">
        <is>
          <t>M Cargo</t>
        </is>
      </c>
      <c r="Z13" s="6" t="inlineStr">
        <is>
          <t>N Cargo</t>
        </is>
      </c>
      <c r="AA13" s="6" t="inlineStr">
        <is>
          <t>N Cargo</t>
        </is>
      </c>
      <c r="AB13" s="6" t="inlineStr">
        <is>
          <t>O</t>
        </is>
      </c>
      <c r="AC13" s="6" t="inlineStr">
        <is>
          <t>A Cargo</t>
        </is>
      </c>
      <c r="AD13" s="6" t="inlineStr">
        <is>
          <t>A Cargo</t>
        </is>
      </c>
      <c r="AE13" s="6" t="inlineStr">
        <is>
          <t>O</t>
        </is>
      </c>
      <c r="AF13" s="6" t="inlineStr">
        <is>
          <t>M Cargo</t>
        </is>
      </c>
      <c r="AG13" s="9" t="inlineStr">
        <is>
          <t>M Cargo</t>
        </is>
      </c>
    </row>
    <row r="14">
      <c r="B14" s="22" t="inlineStr">
        <is>
          <t>Staff 12</t>
        </is>
      </c>
      <c r="C14" s="6" t="inlineStr">
        <is>
          <t>N Vehicles</t>
        </is>
      </c>
      <c r="D14" s="6" t="inlineStr">
        <is>
          <t>O</t>
        </is>
      </c>
      <c r="E14" s="6" t="inlineStr">
        <is>
          <t>A Vehicles</t>
        </is>
      </c>
      <c r="F14" s="6" t="inlineStr">
        <is>
          <t>A Vehicles</t>
        </is>
      </c>
      <c r="G14" s="6" t="inlineStr">
        <is>
          <t>O</t>
        </is>
      </c>
      <c r="H14" s="6" t="inlineStr">
        <is>
          <t>M Vehicles</t>
        </is>
      </c>
      <c r="I14" s="6" t="inlineStr">
        <is>
          <t>M Vehicles</t>
        </is>
      </c>
      <c r="J14" s="6" t="inlineStr">
        <is>
          <t>N Vehicles</t>
        </is>
      </c>
      <c r="K14" s="6" t="inlineStr">
        <is>
          <t>N Vehicles</t>
        </is>
      </c>
      <c r="L14" s="6" t="inlineStr">
        <is>
          <t>O</t>
        </is>
      </c>
      <c r="M14" s="6" t="inlineStr">
        <is>
          <t>A Vehicles</t>
        </is>
      </c>
      <c r="N14" s="6" t="inlineStr">
        <is>
          <t>A Vehicles</t>
        </is>
      </c>
      <c r="O14" s="6" t="inlineStr">
        <is>
          <t>O</t>
        </is>
      </c>
      <c r="P14" s="6" t="inlineStr">
        <is>
          <t>M Vehicles</t>
        </is>
      </c>
      <c r="Q14" s="6" t="inlineStr">
        <is>
          <t>M Vehicles</t>
        </is>
      </c>
      <c r="R14" s="6" t="inlineStr">
        <is>
          <t>N Vehicles</t>
        </is>
      </c>
      <c r="S14" s="6" t="inlineStr">
        <is>
          <t>N Vehicles</t>
        </is>
      </c>
      <c r="T14" s="6" t="inlineStr">
        <is>
          <t>O</t>
        </is>
      </c>
      <c r="U14" s="6" t="inlineStr">
        <is>
          <t>A Vehicles</t>
        </is>
      </c>
      <c r="V14" s="6" t="inlineStr">
        <is>
          <t>A Vehicles</t>
        </is>
      </c>
      <c r="W14" s="6" t="inlineStr">
        <is>
          <t>O</t>
        </is>
      </c>
      <c r="X14" s="6" t="inlineStr">
        <is>
          <t>M Vehicles</t>
        </is>
      </c>
      <c r="Y14" s="6" t="inlineStr">
        <is>
          <t>M Vehicles</t>
        </is>
      </c>
      <c r="Z14" s="6" t="inlineStr">
        <is>
          <t>N Vehicles</t>
        </is>
      </c>
      <c r="AA14" s="6" t="inlineStr">
        <is>
          <t>N Vehicles</t>
        </is>
      </c>
      <c r="AB14" s="6" t="inlineStr">
        <is>
          <t>O</t>
        </is>
      </c>
      <c r="AC14" s="6" t="inlineStr">
        <is>
          <t>A Vehicles</t>
        </is>
      </c>
      <c r="AD14" s="6" t="inlineStr">
        <is>
          <t>A Vehicles</t>
        </is>
      </c>
      <c r="AE14" s="6" t="inlineStr">
        <is>
          <t>O</t>
        </is>
      </c>
      <c r="AF14" s="6" t="inlineStr">
        <is>
          <t>M Vehicles</t>
        </is>
      </c>
      <c r="AG14" s="9" t="inlineStr">
        <is>
          <t>M Vehicles</t>
        </is>
      </c>
    </row>
    <row r="15">
      <c r="B15" s="22" t="inlineStr">
        <is>
          <t>Staff 13</t>
        </is>
      </c>
      <c r="C15" s="6" t="inlineStr">
        <is>
          <t>N Pax</t>
        </is>
      </c>
      <c r="D15" s="6" t="inlineStr">
        <is>
          <t>O</t>
        </is>
      </c>
      <c r="E15" s="6" t="inlineStr">
        <is>
          <t>A Pax</t>
        </is>
      </c>
      <c r="F15" s="6" t="inlineStr">
        <is>
          <t>A Pax</t>
        </is>
      </c>
      <c r="G15" s="6" t="inlineStr">
        <is>
          <t>O</t>
        </is>
      </c>
      <c r="H15" s="6" t="inlineStr">
        <is>
          <t>M Pax</t>
        </is>
      </c>
      <c r="I15" s="6" t="inlineStr">
        <is>
          <t>M Pax</t>
        </is>
      </c>
      <c r="J15" s="6" t="inlineStr">
        <is>
          <t>N Pax</t>
        </is>
      </c>
      <c r="K15" s="6" t="inlineStr">
        <is>
          <t>N Pax</t>
        </is>
      </c>
      <c r="L15" s="6" t="inlineStr">
        <is>
          <t>O</t>
        </is>
      </c>
      <c r="M15" s="6" t="inlineStr">
        <is>
          <t>A Pax</t>
        </is>
      </c>
      <c r="N15" s="6" t="inlineStr">
        <is>
          <t>A Pax</t>
        </is>
      </c>
      <c r="O15" s="6" t="inlineStr">
        <is>
          <t>O</t>
        </is>
      </c>
      <c r="P15" s="6" t="inlineStr">
        <is>
          <t>M Pax</t>
        </is>
      </c>
      <c r="Q15" s="6" t="inlineStr">
        <is>
          <t>M Pax</t>
        </is>
      </c>
      <c r="R15" s="6" t="inlineStr">
        <is>
          <t>N Pax</t>
        </is>
      </c>
      <c r="S15" s="6" t="inlineStr">
        <is>
          <t>N Pax</t>
        </is>
      </c>
      <c r="T15" s="6" t="inlineStr">
        <is>
          <t>O</t>
        </is>
      </c>
      <c r="U15" s="6" t="inlineStr">
        <is>
          <t>A Pax</t>
        </is>
      </c>
      <c r="V15" s="6" t="inlineStr">
        <is>
          <t>A Pax</t>
        </is>
      </c>
      <c r="W15" s="6" t="inlineStr">
        <is>
          <t>O</t>
        </is>
      </c>
      <c r="X15" s="6" t="inlineStr">
        <is>
          <t>M Pax</t>
        </is>
      </c>
      <c r="Y15" s="6" t="inlineStr">
        <is>
          <t>M Pax</t>
        </is>
      </c>
      <c r="Z15" s="6" t="inlineStr">
        <is>
          <t>N Pax</t>
        </is>
      </c>
      <c r="AA15" s="6" t="inlineStr">
        <is>
          <t>N Pax</t>
        </is>
      </c>
      <c r="AB15" s="6" t="inlineStr">
        <is>
          <t>O</t>
        </is>
      </c>
      <c r="AC15" s="6" t="inlineStr">
        <is>
          <t>A Pax</t>
        </is>
      </c>
      <c r="AD15" s="6" t="inlineStr">
        <is>
          <t>A Pax</t>
        </is>
      </c>
      <c r="AE15" s="6" t="inlineStr">
        <is>
          <t>O</t>
        </is>
      </c>
      <c r="AF15" s="6" t="inlineStr">
        <is>
          <t>M Pax</t>
        </is>
      </c>
      <c r="AG15" s="9" t="inlineStr">
        <is>
          <t>M Pax</t>
        </is>
      </c>
    </row>
    <row r="16">
      <c r="B16" s="22" t="inlineStr">
        <is>
          <t>Staff 14</t>
        </is>
      </c>
      <c r="C16" s="6" t="inlineStr">
        <is>
          <t>N Cargo</t>
        </is>
      </c>
      <c r="D16" s="6" t="inlineStr">
        <is>
          <t>O</t>
        </is>
      </c>
      <c r="E16" s="6" t="inlineStr">
        <is>
          <t>A Cargo</t>
        </is>
      </c>
      <c r="F16" s="6" t="inlineStr">
        <is>
          <t>A Cargo</t>
        </is>
      </c>
      <c r="G16" s="6" t="inlineStr">
        <is>
          <t>O</t>
        </is>
      </c>
      <c r="H16" s="6" t="inlineStr">
        <is>
          <t>M Cargo</t>
        </is>
      </c>
      <c r="I16" s="6" t="inlineStr">
        <is>
          <t>M Cargo</t>
        </is>
      </c>
      <c r="J16" s="6" t="inlineStr">
        <is>
          <t>N Cargo</t>
        </is>
      </c>
      <c r="K16" s="6" t="inlineStr">
        <is>
          <t>N Cargo</t>
        </is>
      </c>
      <c r="L16" s="6" t="inlineStr">
        <is>
          <t>O</t>
        </is>
      </c>
      <c r="M16" s="6" t="inlineStr">
        <is>
          <t>A Cargo</t>
        </is>
      </c>
      <c r="N16" s="6" t="inlineStr">
        <is>
          <t>A Cargo</t>
        </is>
      </c>
      <c r="O16" s="6" t="inlineStr">
        <is>
          <t>O</t>
        </is>
      </c>
      <c r="P16" s="6" t="inlineStr">
        <is>
          <t>M Cargo</t>
        </is>
      </c>
      <c r="Q16" s="6" t="inlineStr">
        <is>
          <t>M Cargo</t>
        </is>
      </c>
      <c r="R16" s="6" t="inlineStr">
        <is>
          <t>N Cargo</t>
        </is>
      </c>
      <c r="S16" s="6" t="inlineStr">
        <is>
          <t>N Cargo</t>
        </is>
      </c>
      <c r="T16" s="6" t="inlineStr">
        <is>
          <t>O</t>
        </is>
      </c>
      <c r="U16" s="6" t="inlineStr">
        <is>
          <t>A Cargo</t>
        </is>
      </c>
      <c r="V16" s="6" t="inlineStr">
        <is>
          <t>A Cargo</t>
        </is>
      </c>
      <c r="W16" s="6" t="inlineStr">
        <is>
          <t>O</t>
        </is>
      </c>
      <c r="X16" s="6" t="inlineStr">
        <is>
          <t>M Cargo</t>
        </is>
      </c>
      <c r="Y16" s="6" t="inlineStr">
        <is>
          <t>M Cargo</t>
        </is>
      </c>
      <c r="Z16" s="6" t="inlineStr">
        <is>
          <t>N Cargo</t>
        </is>
      </c>
      <c r="AA16" s="6" t="inlineStr">
        <is>
          <t>N Cargo</t>
        </is>
      </c>
      <c r="AB16" s="6" t="inlineStr">
        <is>
          <t>O</t>
        </is>
      </c>
      <c r="AC16" s="6" t="inlineStr">
        <is>
          <t>A Cargo</t>
        </is>
      </c>
      <c r="AD16" s="6" t="inlineStr">
        <is>
          <t>A Cargo</t>
        </is>
      </c>
      <c r="AE16" s="6" t="inlineStr">
        <is>
          <t>O</t>
        </is>
      </c>
      <c r="AF16" s="6" t="inlineStr">
        <is>
          <t>M Cargo</t>
        </is>
      </c>
      <c r="AG16" s="9" t="inlineStr">
        <is>
          <t>M Cargo</t>
        </is>
      </c>
    </row>
    <row r="17">
      <c r="B17" s="22" t="inlineStr">
        <is>
          <t>Staff 15</t>
        </is>
      </c>
      <c r="C17" s="6" t="inlineStr">
        <is>
          <t>M Train</t>
        </is>
      </c>
      <c r="D17" s="6" t="inlineStr">
        <is>
          <t>N Train</t>
        </is>
      </c>
      <c r="E17" s="6" t="inlineStr">
        <is>
          <t>N Train</t>
        </is>
      </c>
      <c r="F17" s="6" t="inlineStr">
        <is>
          <t>O</t>
        </is>
      </c>
      <c r="G17" s="6" t="inlineStr">
        <is>
          <t>A Train</t>
        </is>
      </c>
      <c r="H17" s="6" t="inlineStr">
        <is>
          <t>A Train</t>
        </is>
      </c>
      <c r="I17" s="6" t="inlineStr">
        <is>
          <t>O</t>
        </is>
      </c>
      <c r="J17" s="6" t="inlineStr">
        <is>
          <t>M Train</t>
        </is>
      </c>
      <c r="K17" s="6" t="inlineStr">
        <is>
          <t>M Train</t>
        </is>
      </c>
      <c r="L17" s="6" t="inlineStr">
        <is>
          <t>N Train</t>
        </is>
      </c>
      <c r="M17" s="6" t="inlineStr">
        <is>
          <t>N Train</t>
        </is>
      </c>
      <c r="N17" s="6" t="inlineStr">
        <is>
          <t>O</t>
        </is>
      </c>
      <c r="O17" s="6" t="inlineStr">
        <is>
          <t>A Train</t>
        </is>
      </c>
      <c r="P17" s="6" t="inlineStr">
        <is>
          <t>A Train</t>
        </is>
      </c>
      <c r="Q17" s="6" t="inlineStr">
        <is>
          <t>O</t>
        </is>
      </c>
      <c r="R17" s="6" t="inlineStr">
        <is>
          <t>M Train</t>
        </is>
      </c>
      <c r="S17" s="6" t="inlineStr">
        <is>
          <t>M Train</t>
        </is>
      </c>
      <c r="T17" s="6" t="inlineStr">
        <is>
          <t>N Train</t>
        </is>
      </c>
      <c r="U17" s="6" t="inlineStr">
        <is>
          <t>N Train</t>
        </is>
      </c>
      <c r="V17" s="6" t="inlineStr">
        <is>
          <t>O</t>
        </is>
      </c>
      <c r="W17" s="6" t="inlineStr">
        <is>
          <t>A Train</t>
        </is>
      </c>
      <c r="X17" s="6" t="inlineStr">
        <is>
          <t>A Train</t>
        </is>
      </c>
      <c r="Y17" s="6" t="inlineStr">
        <is>
          <t>O</t>
        </is>
      </c>
      <c r="Z17" s="6" t="inlineStr">
        <is>
          <t>M Train</t>
        </is>
      </c>
      <c r="AA17" s="6" t="inlineStr">
        <is>
          <t>M Train</t>
        </is>
      </c>
      <c r="AB17" s="6" t="inlineStr">
        <is>
          <t>N Train</t>
        </is>
      </c>
      <c r="AC17" s="6" t="inlineStr">
        <is>
          <t>N Train</t>
        </is>
      </c>
      <c r="AD17" s="6" t="inlineStr">
        <is>
          <t>O</t>
        </is>
      </c>
      <c r="AE17" s="6" t="inlineStr">
        <is>
          <t>A Train</t>
        </is>
      </c>
      <c r="AF17" s="6" t="inlineStr">
        <is>
          <t>A Train</t>
        </is>
      </c>
      <c r="AG17" s="9" t="inlineStr">
        <is>
          <t>O</t>
        </is>
      </c>
    </row>
    <row r="18">
      <c r="B18" s="22" t="inlineStr">
        <is>
          <t>Staff 16</t>
        </is>
      </c>
      <c r="C18" s="6" t="inlineStr">
        <is>
          <t>M Pax</t>
        </is>
      </c>
      <c r="D18" s="6" t="inlineStr">
        <is>
          <t>N Pax</t>
        </is>
      </c>
      <c r="E18" s="6" t="inlineStr">
        <is>
          <t>N Pax</t>
        </is>
      </c>
      <c r="F18" s="6" t="inlineStr">
        <is>
          <t>O</t>
        </is>
      </c>
      <c r="G18" s="6" t="inlineStr">
        <is>
          <t>A Pax</t>
        </is>
      </c>
      <c r="H18" s="6" t="inlineStr">
        <is>
          <t>A Pax</t>
        </is>
      </c>
      <c r="I18" s="6" t="inlineStr">
        <is>
          <t>O</t>
        </is>
      </c>
      <c r="J18" s="6" t="inlineStr">
        <is>
          <t>M Pax</t>
        </is>
      </c>
      <c r="K18" s="6" t="inlineStr">
        <is>
          <t>M Pax</t>
        </is>
      </c>
      <c r="L18" s="6" t="inlineStr">
        <is>
          <t>N Pax</t>
        </is>
      </c>
      <c r="M18" s="6" t="inlineStr">
        <is>
          <t>N Pax</t>
        </is>
      </c>
      <c r="N18" s="6" t="inlineStr">
        <is>
          <t>O</t>
        </is>
      </c>
      <c r="O18" s="6" t="inlineStr">
        <is>
          <t>A Pax</t>
        </is>
      </c>
      <c r="P18" s="6" t="inlineStr">
        <is>
          <t>A Pax</t>
        </is>
      </c>
      <c r="Q18" s="6" t="inlineStr">
        <is>
          <t>O</t>
        </is>
      </c>
      <c r="R18" s="6" t="inlineStr">
        <is>
          <t>M Pax</t>
        </is>
      </c>
      <c r="S18" s="6" t="inlineStr">
        <is>
          <t>M Pax</t>
        </is>
      </c>
      <c r="T18" s="6" t="inlineStr">
        <is>
          <t>N Pax</t>
        </is>
      </c>
      <c r="U18" s="6" t="inlineStr">
        <is>
          <t>N Pax</t>
        </is>
      </c>
      <c r="V18" s="6" t="inlineStr">
        <is>
          <t>O</t>
        </is>
      </c>
      <c r="W18" s="6" t="inlineStr">
        <is>
          <t>A Pax</t>
        </is>
      </c>
      <c r="X18" s="6" t="inlineStr">
        <is>
          <t>A Pax</t>
        </is>
      </c>
      <c r="Y18" s="6" t="inlineStr">
        <is>
          <t>O</t>
        </is>
      </c>
      <c r="Z18" s="6" t="inlineStr">
        <is>
          <t>M Pax</t>
        </is>
      </c>
      <c r="AA18" s="6" t="inlineStr">
        <is>
          <t>M Pax</t>
        </is>
      </c>
      <c r="AB18" s="6" t="inlineStr">
        <is>
          <t>N Pax</t>
        </is>
      </c>
      <c r="AC18" s="6" t="inlineStr">
        <is>
          <t>N Pax</t>
        </is>
      </c>
      <c r="AD18" s="6" t="inlineStr">
        <is>
          <t>O</t>
        </is>
      </c>
      <c r="AE18" s="6" t="inlineStr">
        <is>
          <t>A Pax</t>
        </is>
      </c>
      <c r="AF18" s="6" t="inlineStr">
        <is>
          <t>A Pax</t>
        </is>
      </c>
      <c r="AG18" s="9" t="inlineStr">
        <is>
          <t>O</t>
        </is>
      </c>
    </row>
    <row r="19">
      <c r="B19" s="22" t="inlineStr">
        <is>
          <t>Staff 17</t>
        </is>
      </c>
      <c r="C19" s="6" t="inlineStr">
        <is>
          <t>M Cargo</t>
        </is>
      </c>
      <c r="D19" s="6" t="inlineStr">
        <is>
          <t>N Cargo</t>
        </is>
      </c>
      <c r="E19" s="6" t="inlineStr">
        <is>
          <t>N Cargo</t>
        </is>
      </c>
      <c r="F19" s="6" t="inlineStr">
        <is>
          <t>O</t>
        </is>
      </c>
      <c r="G19" s="6" t="inlineStr">
        <is>
          <t>A Cargo</t>
        </is>
      </c>
      <c r="H19" s="6" t="inlineStr">
        <is>
          <t>A Cargo</t>
        </is>
      </c>
      <c r="I19" s="6" t="inlineStr">
        <is>
          <t>O</t>
        </is>
      </c>
      <c r="J19" s="6" t="inlineStr">
        <is>
          <t>M Cargo</t>
        </is>
      </c>
      <c r="K19" s="6" t="inlineStr">
        <is>
          <t>M Cargo</t>
        </is>
      </c>
      <c r="L19" s="6" t="inlineStr">
        <is>
          <t>N Cargo</t>
        </is>
      </c>
      <c r="M19" s="6" t="inlineStr">
        <is>
          <t>N Cargo</t>
        </is>
      </c>
      <c r="N19" s="6" t="inlineStr">
        <is>
          <t>O</t>
        </is>
      </c>
      <c r="O19" s="6" t="inlineStr">
        <is>
          <t>A Cargo</t>
        </is>
      </c>
      <c r="P19" s="6" t="inlineStr">
        <is>
          <t>A Cargo</t>
        </is>
      </c>
      <c r="Q19" s="6" t="inlineStr">
        <is>
          <t>O</t>
        </is>
      </c>
      <c r="R19" s="6" t="inlineStr">
        <is>
          <t>M Cargo</t>
        </is>
      </c>
      <c r="S19" s="6" t="inlineStr">
        <is>
          <t>M Cargo</t>
        </is>
      </c>
      <c r="T19" s="6" t="inlineStr">
        <is>
          <t>N Cargo</t>
        </is>
      </c>
      <c r="U19" s="6" t="inlineStr">
        <is>
          <t>N Cargo</t>
        </is>
      </c>
      <c r="V19" s="6" t="inlineStr">
        <is>
          <t>O</t>
        </is>
      </c>
      <c r="W19" s="6" t="inlineStr">
        <is>
          <t>A Cargo</t>
        </is>
      </c>
      <c r="X19" s="6" t="inlineStr">
        <is>
          <t>A Cargo</t>
        </is>
      </c>
      <c r="Y19" s="6" t="inlineStr">
        <is>
          <t>O</t>
        </is>
      </c>
      <c r="Z19" s="6" t="inlineStr">
        <is>
          <t>M Cargo</t>
        </is>
      </c>
      <c r="AA19" s="6" t="inlineStr">
        <is>
          <t>M Cargo</t>
        </is>
      </c>
      <c r="AB19" s="6" t="inlineStr">
        <is>
          <t>N Cargo</t>
        </is>
      </c>
      <c r="AC19" s="6" t="inlineStr">
        <is>
          <t>N Cargo</t>
        </is>
      </c>
      <c r="AD19" s="6" t="inlineStr">
        <is>
          <t>O</t>
        </is>
      </c>
      <c r="AE19" s="6" t="inlineStr">
        <is>
          <t>A Cargo</t>
        </is>
      </c>
      <c r="AF19" s="6" t="inlineStr">
        <is>
          <t>A Cargo</t>
        </is>
      </c>
      <c r="AG19" s="9" t="inlineStr">
        <is>
          <t>O</t>
        </is>
      </c>
    </row>
    <row r="20">
      <c r="B20" s="22" t="inlineStr">
        <is>
          <t>Staff 18</t>
        </is>
      </c>
      <c r="C20" s="6" t="inlineStr">
        <is>
          <t>M Vehicles</t>
        </is>
      </c>
      <c r="D20" s="6" t="inlineStr">
        <is>
          <t>N Vehicles</t>
        </is>
      </c>
      <c r="E20" s="6" t="inlineStr">
        <is>
          <t>N Vehicles</t>
        </is>
      </c>
      <c r="F20" s="6" t="inlineStr">
        <is>
          <t>O</t>
        </is>
      </c>
      <c r="G20" s="6" t="inlineStr">
        <is>
          <t>A Vehicles</t>
        </is>
      </c>
      <c r="H20" s="6" t="inlineStr">
        <is>
          <t>A Vehicles</t>
        </is>
      </c>
      <c r="I20" s="6" t="inlineStr">
        <is>
          <t>O</t>
        </is>
      </c>
      <c r="J20" s="6" t="inlineStr">
        <is>
          <t>M Vehicles</t>
        </is>
      </c>
      <c r="K20" s="6" t="inlineStr">
        <is>
          <t>M Vehicles</t>
        </is>
      </c>
      <c r="L20" s="6" t="inlineStr">
        <is>
          <t>N Vehicles</t>
        </is>
      </c>
      <c r="M20" s="6" t="inlineStr">
        <is>
          <t>N Vehicles</t>
        </is>
      </c>
      <c r="N20" s="6" t="inlineStr">
        <is>
          <t>O</t>
        </is>
      </c>
      <c r="O20" s="6" t="inlineStr">
        <is>
          <t>A Vehicles</t>
        </is>
      </c>
      <c r="P20" s="6" t="inlineStr">
        <is>
          <t>A Vehicles</t>
        </is>
      </c>
      <c r="Q20" s="6" t="inlineStr">
        <is>
          <t>O</t>
        </is>
      </c>
      <c r="R20" s="6" t="inlineStr">
        <is>
          <t>M Vehicles</t>
        </is>
      </c>
      <c r="S20" s="6" t="inlineStr">
        <is>
          <t>M Vehicles</t>
        </is>
      </c>
      <c r="T20" s="6" t="inlineStr">
        <is>
          <t>N Vehicles</t>
        </is>
      </c>
      <c r="U20" s="6" t="inlineStr">
        <is>
          <t>N Vehicles</t>
        </is>
      </c>
      <c r="V20" s="6" t="inlineStr">
        <is>
          <t>O</t>
        </is>
      </c>
      <c r="W20" s="6" t="inlineStr">
        <is>
          <t>A Vehicles</t>
        </is>
      </c>
      <c r="X20" s="6" t="inlineStr">
        <is>
          <t>A Vehicles</t>
        </is>
      </c>
      <c r="Y20" s="6" t="inlineStr">
        <is>
          <t>O</t>
        </is>
      </c>
      <c r="Z20" s="6" t="inlineStr">
        <is>
          <t>M Vehicles</t>
        </is>
      </c>
      <c r="AA20" s="6" t="inlineStr">
        <is>
          <t>M Vehicles</t>
        </is>
      </c>
      <c r="AB20" s="6" t="inlineStr">
        <is>
          <t>N Vehicles</t>
        </is>
      </c>
      <c r="AC20" s="6" t="inlineStr">
        <is>
          <t>N Vehicles</t>
        </is>
      </c>
      <c r="AD20" s="6" t="inlineStr">
        <is>
          <t>O</t>
        </is>
      </c>
      <c r="AE20" s="6" t="inlineStr">
        <is>
          <t>A Vehicles</t>
        </is>
      </c>
      <c r="AF20" s="6" t="inlineStr">
        <is>
          <t>A Vehicles</t>
        </is>
      </c>
      <c r="AG20" s="9" t="inlineStr">
        <is>
          <t>O</t>
        </is>
      </c>
    </row>
    <row r="21">
      <c r="B21" s="23" t="inlineStr">
        <is>
          <t>Staff 19</t>
        </is>
      </c>
      <c r="C21" s="10" t="inlineStr">
        <is>
          <t>M Train</t>
        </is>
      </c>
      <c r="D21" s="10" t="inlineStr">
        <is>
          <t>N Train</t>
        </is>
      </c>
      <c r="E21" s="10" t="inlineStr">
        <is>
          <t>N Train</t>
        </is>
      </c>
      <c r="F21" s="10" t="inlineStr">
        <is>
          <t>O</t>
        </is>
      </c>
      <c r="G21" s="10" t="inlineStr">
        <is>
          <t>A Train</t>
        </is>
      </c>
      <c r="H21" s="10" t="inlineStr">
        <is>
          <t>A Train</t>
        </is>
      </c>
      <c r="I21" s="10" t="inlineStr">
        <is>
          <t>O</t>
        </is>
      </c>
      <c r="J21" s="10" t="inlineStr">
        <is>
          <t>M Train</t>
        </is>
      </c>
      <c r="K21" s="10" t="inlineStr">
        <is>
          <t>M Train</t>
        </is>
      </c>
      <c r="L21" s="10" t="inlineStr">
        <is>
          <t>N Train</t>
        </is>
      </c>
      <c r="M21" s="10" t="inlineStr">
        <is>
          <t>N Train</t>
        </is>
      </c>
      <c r="N21" s="10" t="inlineStr">
        <is>
          <t>O</t>
        </is>
      </c>
      <c r="O21" s="10" t="inlineStr">
        <is>
          <t>A Train</t>
        </is>
      </c>
      <c r="P21" s="10" t="inlineStr">
        <is>
          <t>A Train</t>
        </is>
      </c>
      <c r="Q21" s="10" t="inlineStr">
        <is>
          <t>O</t>
        </is>
      </c>
      <c r="R21" s="10" t="inlineStr">
        <is>
          <t>M Train</t>
        </is>
      </c>
      <c r="S21" s="10" t="inlineStr">
        <is>
          <t>M Train</t>
        </is>
      </c>
      <c r="T21" s="10" t="inlineStr">
        <is>
          <t>N Train</t>
        </is>
      </c>
      <c r="U21" s="10" t="inlineStr">
        <is>
          <t>N Train</t>
        </is>
      </c>
      <c r="V21" s="10" t="inlineStr">
        <is>
          <t>O</t>
        </is>
      </c>
      <c r="W21" s="10" t="inlineStr">
        <is>
          <t>A Train</t>
        </is>
      </c>
      <c r="X21" s="10" t="inlineStr">
        <is>
          <t>A Train</t>
        </is>
      </c>
      <c r="Y21" s="10" t="inlineStr">
        <is>
          <t>O</t>
        </is>
      </c>
      <c r="Z21" s="10" t="inlineStr">
        <is>
          <t>M Train</t>
        </is>
      </c>
      <c r="AA21" s="10" t="inlineStr">
        <is>
          <t>M Train</t>
        </is>
      </c>
      <c r="AB21" s="10" t="inlineStr">
        <is>
          <t>N Train</t>
        </is>
      </c>
      <c r="AC21" s="10" t="inlineStr">
        <is>
          <t>N Train</t>
        </is>
      </c>
      <c r="AD21" s="10" t="inlineStr">
        <is>
          <t>O</t>
        </is>
      </c>
      <c r="AE21" s="10" t="inlineStr">
        <is>
          <t>A Train</t>
        </is>
      </c>
      <c r="AF21" s="10" t="inlineStr">
        <is>
          <t>A Train</t>
        </is>
      </c>
      <c r="AG21" s="11" t="inlineStr">
        <is>
          <t>O</t>
        </is>
      </c>
    </row>
    <row r="22"/>
    <row r="23">
      <c r="A23" s="1" t="inlineStr">
        <is>
          <t>Previous Month Schedule Table</t>
        </is>
      </c>
      <c r="B23" s="18" t="n"/>
      <c r="C23" s="18" t="n"/>
      <c r="D23" s="18" t="n"/>
      <c r="E23" s="18" t="n"/>
      <c r="F23" s="18" t="n"/>
      <c r="G23" s="18" t="n"/>
      <c r="H23" s="18" t="n"/>
      <c r="I23" s="18" t="n"/>
      <c r="J23" s="18" t="n"/>
      <c r="K23" s="18" t="n"/>
      <c r="L23" s="18" t="n"/>
      <c r="M23" s="18" t="n"/>
      <c r="N23" s="18" t="n"/>
      <c r="O23" s="18" t="n"/>
      <c r="P23" s="18" t="n"/>
      <c r="Q23" s="18" t="n"/>
      <c r="R23" s="18" t="n"/>
      <c r="S23" s="18" t="n"/>
      <c r="T23" s="18" t="n"/>
      <c r="U23" s="18" t="n"/>
      <c r="V23" s="18" t="n"/>
      <c r="W23" s="18" t="n"/>
      <c r="X23" s="18" t="n"/>
      <c r="Y23" s="18" t="n"/>
      <c r="Z23" s="18" t="n"/>
      <c r="AA23" s="18" t="n"/>
      <c r="AB23" s="18" t="n"/>
      <c r="AC23" s="18" t="n"/>
      <c r="AD23" s="18" t="n"/>
      <c r="AE23" s="18" t="n"/>
      <c r="AF23" s="18" t="n"/>
      <c r="AG23" s="18" t="n"/>
    </row>
    <row r="24">
      <c r="B24" s="19" t="n"/>
      <c r="C24" s="20" t="inlineStr">
        <is>
          <t>Day 1</t>
        </is>
      </c>
      <c r="D24" s="20" t="inlineStr">
        <is>
          <t>Day 2</t>
        </is>
      </c>
      <c r="E24" s="20" t="inlineStr">
        <is>
          <t>Day 3</t>
        </is>
      </c>
      <c r="F24" s="20" t="inlineStr">
        <is>
          <t>Day 4</t>
        </is>
      </c>
      <c r="G24" s="20" t="inlineStr">
        <is>
          <t>Day 5</t>
        </is>
      </c>
      <c r="H24" s="20" t="inlineStr">
        <is>
          <t>Day 6</t>
        </is>
      </c>
      <c r="I24" s="20" t="inlineStr">
        <is>
          <t>Day 7</t>
        </is>
      </c>
      <c r="J24" s="20" t="inlineStr">
        <is>
          <t>Day 8</t>
        </is>
      </c>
      <c r="K24" s="20" t="inlineStr">
        <is>
          <t>Day 9</t>
        </is>
      </c>
      <c r="L24" s="20" t="inlineStr">
        <is>
          <t>Day 10</t>
        </is>
      </c>
      <c r="M24" s="20" t="inlineStr">
        <is>
          <t>Day 11</t>
        </is>
      </c>
      <c r="N24" s="20" t="inlineStr">
        <is>
          <t>Day 12</t>
        </is>
      </c>
      <c r="O24" s="20" t="inlineStr">
        <is>
          <t>Day 13</t>
        </is>
      </c>
      <c r="P24" s="20" t="inlineStr">
        <is>
          <t>Day 14</t>
        </is>
      </c>
      <c r="Q24" s="20" t="inlineStr">
        <is>
          <t>Day 15</t>
        </is>
      </c>
      <c r="R24" s="20" t="inlineStr">
        <is>
          <t>Day 16</t>
        </is>
      </c>
      <c r="S24" s="20" t="inlineStr">
        <is>
          <t>Day 17</t>
        </is>
      </c>
      <c r="T24" s="20" t="inlineStr">
        <is>
          <t>Day 18</t>
        </is>
      </c>
      <c r="U24" s="20" t="inlineStr">
        <is>
          <t>Day 19</t>
        </is>
      </c>
      <c r="V24" s="20" t="inlineStr">
        <is>
          <t>Day 20</t>
        </is>
      </c>
      <c r="W24" s="20" t="inlineStr">
        <is>
          <t>Day 21</t>
        </is>
      </c>
      <c r="X24" s="20" t="inlineStr">
        <is>
          <t>Day 22</t>
        </is>
      </c>
      <c r="Y24" s="20" t="inlineStr">
        <is>
          <t>Day 23</t>
        </is>
      </c>
      <c r="Z24" s="20" t="inlineStr">
        <is>
          <t>Day 24</t>
        </is>
      </c>
      <c r="AA24" s="20" t="inlineStr">
        <is>
          <t>Day 25</t>
        </is>
      </c>
      <c r="AB24" s="20" t="inlineStr">
        <is>
          <t>Day 26</t>
        </is>
      </c>
      <c r="AC24" s="20" t="inlineStr">
        <is>
          <t>Day 27</t>
        </is>
      </c>
      <c r="AD24" s="20" t="inlineStr">
        <is>
          <t>Day 28</t>
        </is>
      </c>
      <c r="AE24" s="20" t="inlineStr">
        <is>
          <t>Day 29</t>
        </is>
      </c>
      <c r="AF24" s="20" t="inlineStr">
        <is>
          <t>Day 30</t>
        </is>
      </c>
    </row>
    <row r="25">
      <c r="B25" s="22" t="inlineStr">
        <is>
          <t>Staff 1</t>
        </is>
      </c>
      <c r="C25" s="6" t="inlineStr">
        <is>
          <t>M Vehicles</t>
        </is>
      </c>
      <c r="D25" s="6" t="inlineStr">
        <is>
          <t>N Vehicles</t>
        </is>
      </c>
      <c r="E25" s="6" t="inlineStr">
        <is>
          <t>N Vehicles</t>
        </is>
      </c>
      <c r="F25" s="6" t="inlineStr">
        <is>
          <t>O</t>
        </is>
      </c>
      <c r="G25" s="6" t="inlineStr">
        <is>
          <t>A Vehicles</t>
        </is>
      </c>
      <c r="H25" s="6" t="inlineStr">
        <is>
          <t>A Vehicles</t>
        </is>
      </c>
      <c r="I25" s="6" t="inlineStr">
        <is>
          <t>O</t>
        </is>
      </c>
      <c r="J25" s="6" t="inlineStr">
        <is>
          <t>M Vehicles</t>
        </is>
      </c>
      <c r="K25" s="6" t="inlineStr">
        <is>
          <t>M Vehicles</t>
        </is>
      </c>
      <c r="L25" s="6" t="inlineStr">
        <is>
          <t>N Vehicles</t>
        </is>
      </c>
      <c r="M25" s="6" t="inlineStr">
        <is>
          <t>N Vehicles</t>
        </is>
      </c>
      <c r="N25" s="6" t="inlineStr">
        <is>
          <t>O</t>
        </is>
      </c>
      <c r="O25" s="6" t="inlineStr">
        <is>
          <t>A Vehicles</t>
        </is>
      </c>
      <c r="P25" s="6" t="inlineStr">
        <is>
          <t>A Vehicles</t>
        </is>
      </c>
      <c r="Q25" s="6" t="inlineStr">
        <is>
          <t>O</t>
        </is>
      </c>
      <c r="R25" s="6" t="inlineStr">
        <is>
          <t>M Vehicles</t>
        </is>
      </c>
      <c r="S25" s="6" t="inlineStr">
        <is>
          <t>M Vehicles</t>
        </is>
      </c>
      <c r="T25" s="6" t="inlineStr">
        <is>
          <t>N Vehicles</t>
        </is>
      </c>
      <c r="U25" s="6" t="inlineStr">
        <is>
          <t>N Vehicles</t>
        </is>
      </c>
      <c r="V25" s="6" t="inlineStr">
        <is>
          <t>O</t>
        </is>
      </c>
      <c r="W25" s="6" t="inlineStr">
        <is>
          <t>A Vehicles</t>
        </is>
      </c>
      <c r="X25" s="6" t="inlineStr">
        <is>
          <t>A Vehicles</t>
        </is>
      </c>
      <c r="Y25" s="6" t="inlineStr">
        <is>
          <t>O</t>
        </is>
      </c>
      <c r="Z25" s="6" t="inlineStr">
        <is>
          <t>M Vehicles</t>
        </is>
      </c>
      <c r="AA25" s="6" t="inlineStr">
        <is>
          <t>M Vehicles</t>
        </is>
      </c>
      <c r="AB25" s="6" t="inlineStr">
        <is>
          <t>N Vehicles</t>
        </is>
      </c>
      <c r="AC25" s="6" t="inlineStr">
        <is>
          <t>N Vehicles</t>
        </is>
      </c>
      <c r="AD25" s="6" t="inlineStr">
        <is>
          <t>O</t>
        </is>
      </c>
      <c r="AE25" s="6" t="inlineStr">
        <is>
          <t>A Vehicles</t>
        </is>
      </c>
      <c r="AF25" s="6" t="inlineStr">
        <is>
          <t>A Vehicles</t>
        </is>
      </c>
    </row>
    <row r="26">
      <c r="B26" s="22" t="inlineStr">
        <is>
          <t>Staff 2</t>
        </is>
      </c>
      <c r="C26" s="6" t="inlineStr">
        <is>
          <t>M Pax</t>
        </is>
      </c>
      <c r="D26" s="6" t="inlineStr">
        <is>
          <t>N Pax</t>
        </is>
      </c>
      <c r="E26" s="6" t="inlineStr">
        <is>
          <t>N Pax</t>
        </is>
      </c>
      <c r="F26" s="6" t="inlineStr">
        <is>
          <t>O</t>
        </is>
      </c>
      <c r="G26" s="6" t="inlineStr">
        <is>
          <t>A Pax</t>
        </is>
      </c>
      <c r="H26" s="6" t="inlineStr">
        <is>
          <t>A Pax</t>
        </is>
      </c>
      <c r="I26" s="6" t="inlineStr">
        <is>
          <t>O</t>
        </is>
      </c>
      <c r="J26" s="6" t="inlineStr">
        <is>
          <t>M Pax</t>
        </is>
      </c>
      <c r="K26" s="6" t="inlineStr">
        <is>
          <t>M Pax</t>
        </is>
      </c>
      <c r="L26" s="6" t="inlineStr">
        <is>
          <t>N Pax</t>
        </is>
      </c>
      <c r="M26" s="6" t="inlineStr">
        <is>
          <t>N Pax</t>
        </is>
      </c>
      <c r="N26" s="6" t="inlineStr">
        <is>
          <t>O</t>
        </is>
      </c>
      <c r="O26" s="6" t="inlineStr">
        <is>
          <t>A Pax</t>
        </is>
      </c>
      <c r="P26" s="6" t="inlineStr">
        <is>
          <t>A Pax</t>
        </is>
      </c>
      <c r="Q26" s="6" t="inlineStr">
        <is>
          <t>O</t>
        </is>
      </c>
      <c r="R26" s="6" t="inlineStr">
        <is>
          <t>M Pax</t>
        </is>
      </c>
      <c r="S26" s="6" t="inlineStr">
        <is>
          <t>M Pax</t>
        </is>
      </c>
      <c r="T26" s="6" t="inlineStr">
        <is>
          <t>N Pax</t>
        </is>
      </c>
      <c r="U26" s="6" t="inlineStr">
        <is>
          <t>N Pax</t>
        </is>
      </c>
      <c r="V26" s="6" t="inlineStr">
        <is>
          <t>O</t>
        </is>
      </c>
      <c r="W26" s="6" t="inlineStr">
        <is>
          <t>A Pax</t>
        </is>
      </c>
      <c r="X26" s="6" t="inlineStr">
        <is>
          <t>A Pax</t>
        </is>
      </c>
      <c r="Y26" s="6" t="inlineStr">
        <is>
          <t>O</t>
        </is>
      </c>
      <c r="Z26" s="6" t="inlineStr">
        <is>
          <t>M Pax</t>
        </is>
      </c>
      <c r="AA26" s="6" t="inlineStr">
        <is>
          <t>M Pax</t>
        </is>
      </c>
      <c r="AB26" s="6" t="inlineStr">
        <is>
          <t>N Pax</t>
        </is>
      </c>
      <c r="AC26" s="6" t="inlineStr">
        <is>
          <t>N Pax</t>
        </is>
      </c>
      <c r="AD26" s="6" t="inlineStr">
        <is>
          <t>O</t>
        </is>
      </c>
      <c r="AE26" s="6" t="inlineStr">
        <is>
          <t>A Pax</t>
        </is>
      </c>
      <c r="AF26" s="6" t="inlineStr">
        <is>
          <t>A Pax</t>
        </is>
      </c>
    </row>
    <row r="27">
      <c r="B27" s="22" t="inlineStr">
        <is>
          <t>Staff 3</t>
        </is>
      </c>
      <c r="C27" s="6" t="inlineStr">
        <is>
          <t>M Cargo</t>
        </is>
      </c>
      <c r="D27" s="6" t="inlineStr">
        <is>
          <t>N Cargo</t>
        </is>
      </c>
      <c r="E27" s="6" t="inlineStr">
        <is>
          <t>N Cargo</t>
        </is>
      </c>
      <c r="F27" s="6" t="inlineStr">
        <is>
          <t>O</t>
        </is>
      </c>
      <c r="G27" s="6" t="inlineStr">
        <is>
          <t>A Cargo</t>
        </is>
      </c>
      <c r="H27" s="6" t="inlineStr">
        <is>
          <t>A Cargo</t>
        </is>
      </c>
      <c r="I27" s="6" t="inlineStr">
        <is>
          <t>O</t>
        </is>
      </c>
      <c r="J27" s="6" t="inlineStr">
        <is>
          <t>M Cargo</t>
        </is>
      </c>
      <c r="K27" s="6" t="inlineStr">
        <is>
          <t>M Cargo</t>
        </is>
      </c>
      <c r="L27" s="6" t="inlineStr">
        <is>
          <t>N Cargo</t>
        </is>
      </c>
      <c r="M27" s="6" t="inlineStr">
        <is>
          <t>N Cargo</t>
        </is>
      </c>
      <c r="N27" s="6" t="inlineStr">
        <is>
          <t>O</t>
        </is>
      </c>
      <c r="O27" s="6" t="inlineStr">
        <is>
          <t>A Cargo</t>
        </is>
      </c>
      <c r="P27" s="6" t="inlineStr">
        <is>
          <t>A Cargo</t>
        </is>
      </c>
      <c r="Q27" s="6" t="inlineStr">
        <is>
          <t>O</t>
        </is>
      </c>
      <c r="R27" s="6" t="inlineStr">
        <is>
          <t>M Cargo</t>
        </is>
      </c>
      <c r="S27" s="6" t="inlineStr">
        <is>
          <t>M Cargo</t>
        </is>
      </c>
      <c r="T27" s="6" t="inlineStr">
        <is>
          <t>N Cargo</t>
        </is>
      </c>
      <c r="U27" s="6" t="inlineStr">
        <is>
          <t>N Cargo</t>
        </is>
      </c>
      <c r="V27" s="6" t="inlineStr">
        <is>
          <t>O</t>
        </is>
      </c>
      <c r="W27" s="6" t="inlineStr">
        <is>
          <t>A Cargo</t>
        </is>
      </c>
      <c r="X27" s="6" t="inlineStr">
        <is>
          <t>A Cargo</t>
        </is>
      </c>
      <c r="Y27" s="6" t="inlineStr">
        <is>
          <t>O</t>
        </is>
      </c>
      <c r="Z27" s="6" t="inlineStr">
        <is>
          <t>M Cargo</t>
        </is>
      </c>
      <c r="AA27" s="6" t="inlineStr">
        <is>
          <t>M Cargo</t>
        </is>
      </c>
      <c r="AB27" s="6" t="inlineStr">
        <is>
          <t>N Cargo</t>
        </is>
      </c>
      <c r="AC27" s="6" t="inlineStr">
        <is>
          <t>N Cargo</t>
        </is>
      </c>
      <c r="AD27" s="6" t="inlineStr">
        <is>
          <t>O</t>
        </is>
      </c>
      <c r="AE27" s="6" t="inlineStr">
        <is>
          <t>A Cargo</t>
        </is>
      </c>
      <c r="AF27" s="6" t="inlineStr">
        <is>
          <t>A Cargo</t>
        </is>
      </c>
    </row>
    <row r="28">
      <c r="B28" s="22" t="inlineStr">
        <is>
          <t>Staff 4</t>
        </is>
      </c>
      <c r="C28" s="6" t="inlineStr">
        <is>
          <t>M Vehicles</t>
        </is>
      </c>
      <c r="D28" s="6" t="inlineStr">
        <is>
          <t>N Vehicles</t>
        </is>
      </c>
      <c r="E28" s="6" t="inlineStr">
        <is>
          <t>N Vehicles</t>
        </is>
      </c>
      <c r="F28" s="6" t="inlineStr">
        <is>
          <t>O</t>
        </is>
      </c>
      <c r="G28" s="6" t="inlineStr">
        <is>
          <t>A Vehicles</t>
        </is>
      </c>
      <c r="H28" s="6" t="inlineStr">
        <is>
          <t>A Vehicles</t>
        </is>
      </c>
      <c r="I28" s="6" t="inlineStr">
        <is>
          <t>O</t>
        </is>
      </c>
      <c r="J28" s="6" t="inlineStr">
        <is>
          <t>M Vehicles</t>
        </is>
      </c>
      <c r="K28" s="6" t="inlineStr">
        <is>
          <t>M Vehicles</t>
        </is>
      </c>
      <c r="L28" s="6" t="inlineStr">
        <is>
          <t>N Vehicles</t>
        </is>
      </c>
      <c r="M28" s="6" t="inlineStr">
        <is>
          <t>N Vehicles</t>
        </is>
      </c>
      <c r="N28" s="6" t="inlineStr">
        <is>
          <t>O</t>
        </is>
      </c>
      <c r="O28" s="6" t="inlineStr">
        <is>
          <t>A Vehicles</t>
        </is>
      </c>
      <c r="P28" s="6" t="inlineStr">
        <is>
          <t>A Vehicles</t>
        </is>
      </c>
      <c r="Q28" s="6" t="inlineStr">
        <is>
          <t>O</t>
        </is>
      </c>
      <c r="R28" s="6" t="inlineStr">
        <is>
          <t>M Vehicles</t>
        </is>
      </c>
      <c r="S28" s="6" t="inlineStr">
        <is>
          <t>M Vehicles</t>
        </is>
      </c>
      <c r="T28" s="6" t="inlineStr">
        <is>
          <t>N Vehicles</t>
        </is>
      </c>
      <c r="U28" s="6" t="inlineStr">
        <is>
          <t>N Vehicles</t>
        </is>
      </c>
      <c r="V28" s="6" t="inlineStr">
        <is>
          <t>O</t>
        </is>
      </c>
      <c r="W28" s="6" t="inlineStr">
        <is>
          <t>A Vehicles</t>
        </is>
      </c>
      <c r="X28" s="6" t="inlineStr">
        <is>
          <t>A Vehicles</t>
        </is>
      </c>
      <c r="Y28" s="6" t="inlineStr">
        <is>
          <t>O</t>
        </is>
      </c>
      <c r="Z28" s="6" t="inlineStr">
        <is>
          <t>M Vehicles</t>
        </is>
      </c>
      <c r="AA28" s="6" t="inlineStr">
        <is>
          <t>M Vehicles</t>
        </is>
      </c>
      <c r="AB28" s="6" t="inlineStr">
        <is>
          <t>N Vehicles</t>
        </is>
      </c>
      <c r="AC28" s="6" t="inlineStr">
        <is>
          <t>N Vehicles</t>
        </is>
      </c>
      <c r="AD28" s="6" t="inlineStr">
        <is>
          <t>O</t>
        </is>
      </c>
      <c r="AE28" s="6" t="inlineStr">
        <is>
          <t>A Vehicles</t>
        </is>
      </c>
      <c r="AF28" s="6" t="inlineStr">
        <is>
          <t>A Vehicles</t>
        </is>
      </c>
    </row>
    <row r="29">
      <c r="B29" s="22" t="inlineStr">
        <is>
          <t>Staff 5</t>
        </is>
      </c>
      <c r="C29" s="6" t="inlineStr">
        <is>
          <t>M Train</t>
        </is>
      </c>
      <c r="D29" s="6" t="inlineStr">
        <is>
          <t>N Train</t>
        </is>
      </c>
      <c r="E29" s="6" t="inlineStr">
        <is>
          <t>N Train</t>
        </is>
      </c>
      <c r="F29" s="6" t="inlineStr">
        <is>
          <t>O</t>
        </is>
      </c>
      <c r="G29" s="6" t="inlineStr">
        <is>
          <t>A Train</t>
        </is>
      </c>
      <c r="H29" s="6" t="inlineStr">
        <is>
          <t>A Train</t>
        </is>
      </c>
      <c r="I29" s="6" t="inlineStr">
        <is>
          <t>O</t>
        </is>
      </c>
      <c r="J29" s="6" t="inlineStr">
        <is>
          <t>M Train</t>
        </is>
      </c>
      <c r="K29" s="6" t="inlineStr">
        <is>
          <t>M Train</t>
        </is>
      </c>
      <c r="L29" s="6" t="inlineStr">
        <is>
          <t>N Train</t>
        </is>
      </c>
      <c r="M29" s="6" t="inlineStr">
        <is>
          <t>N Train</t>
        </is>
      </c>
      <c r="N29" s="6" t="inlineStr">
        <is>
          <t>O</t>
        </is>
      </c>
      <c r="O29" s="6" t="inlineStr">
        <is>
          <t>A Train</t>
        </is>
      </c>
      <c r="P29" s="6" t="inlineStr">
        <is>
          <t>A Train</t>
        </is>
      </c>
      <c r="Q29" s="6" t="inlineStr">
        <is>
          <t>O</t>
        </is>
      </c>
      <c r="R29" s="6" t="inlineStr">
        <is>
          <t>M Train</t>
        </is>
      </c>
      <c r="S29" s="6" t="inlineStr">
        <is>
          <t>M Train</t>
        </is>
      </c>
      <c r="T29" s="6" t="inlineStr">
        <is>
          <t>N Train</t>
        </is>
      </c>
      <c r="U29" s="6" t="inlineStr">
        <is>
          <t>N Train</t>
        </is>
      </c>
      <c r="V29" s="6" t="inlineStr">
        <is>
          <t>O</t>
        </is>
      </c>
      <c r="W29" s="6" t="inlineStr">
        <is>
          <t>A Train</t>
        </is>
      </c>
      <c r="X29" s="6" t="inlineStr">
        <is>
          <t>A Train</t>
        </is>
      </c>
      <c r="Y29" s="6" t="inlineStr">
        <is>
          <t>O</t>
        </is>
      </c>
      <c r="Z29" s="6" t="inlineStr">
        <is>
          <t>M Train</t>
        </is>
      </c>
      <c r="AA29" s="6" t="inlineStr">
        <is>
          <t>M Train</t>
        </is>
      </c>
      <c r="AB29" s="6" t="inlineStr">
        <is>
          <t>N Train</t>
        </is>
      </c>
      <c r="AC29" s="6" t="inlineStr">
        <is>
          <t>N Train</t>
        </is>
      </c>
      <c r="AD29" s="6" t="inlineStr">
        <is>
          <t>O</t>
        </is>
      </c>
      <c r="AE29" s="6" t="inlineStr">
        <is>
          <t>A Train</t>
        </is>
      </c>
      <c r="AF29" s="6" t="inlineStr">
        <is>
          <t>A Train</t>
        </is>
      </c>
    </row>
    <row r="30">
      <c r="B30" s="22" t="inlineStr">
        <is>
          <t>Staff 6</t>
        </is>
      </c>
      <c r="C30" s="6" t="inlineStr">
        <is>
          <t>O</t>
        </is>
      </c>
      <c r="D30" s="6" t="inlineStr">
        <is>
          <t>M Vehicles</t>
        </is>
      </c>
      <c r="E30" s="6" t="inlineStr">
        <is>
          <t>M Vehicles</t>
        </is>
      </c>
      <c r="F30" s="6" t="inlineStr">
        <is>
          <t>N Vehicles</t>
        </is>
      </c>
      <c r="G30" s="6" t="inlineStr">
        <is>
          <t>N Vehicles</t>
        </is>
      </c>
      <c r="H30" s="6" t="inlineStr">
        <is>
          <t>O</t>
        </is>
      </c>
      <c r="I30" s="6" t="inlineStr">
        <is>
          <t>A Vehicles</t>
        </is>
      </c>
      <c r="J30" s="6" t="inlineStr">
        <is>
          <t>A Vehicles</t>
        </is>
      </c>
      <c r="K30" s="6" t="inlineStr">
        <is>
          <t>O</t>
        </is>
      </c>
      <c r="L30" s="6" t="inlineStr">
        <is>
          <t>M Vehicles</t>
        </is>
      </c>
      <c r="M30" s="6" t="inlineStr">
        <is>
          <t>M Vehicles</t>
        </is>
      </c>
      <c r="N30" s="6" t="inlineStr">
        <is>
          <t>N Vehicles</t>
        </is>
      </c>
      <c r="O30" s="6" t="inlineStr">
        <is>
          <t>N Vehicles</t>
        </is>
      </c>
      <c r="P30" s="6" t="inlineStr">
        <is>
          <t>O</t>
        </is>
      </c>
      <c r="Q30" s="6" t="inlineStr">
        <is>
          <t>A Vehicles</t>
        </is>
      </c>
      <c r="R30" s="6" t="inlineStr">
        <is>
          <t>A Vehicles</t>
        </is>
      </c>
      <c r="S30" s="6" t="inlineStr">
        <is>
          <t>O</t>
        </is>
      </c>
      <c r="T30" s="6" t="inlineStr">
        <is>
          <t>M Vehicles</t>
        </is>
      </c>
      <c r="U30" s="6" t="inlineStr">
        <is>
          <t>M Vehicles</t>
        </is>
      </c>
      <c r="V30" s="6" t="inlineStr">
        <is>
          <t>N Vehicles</t>
        </is>
      </c>
      <c r="W30" s="6" t="inlineStr">
        <is>
          <t>N Vehicles</t>
        </is>
      </c>
      <c r="X30" s="6" t="inlineStr">
        <is>
          <t>O</t>
        </is>
      </c>
      <c r="Y30" s="6" t="inlineStr">
        <is>
          <t>A Vehicles</t>
        </is>
      </c>
      <c r="Z30" s="6" t="inlineStr">
        <is>
          <t>A Vehicles</t>
        </is>
      </c>
      <c r="AA30" s="6" t="inlineStr">
        <is>
          <t>O</t>
        </is>
      </c>
      <c r="AB30" s="6" t="inlineStr">
        <is>
          <t>M Vehicles</t>
        </is>
      </c>
      <c r="AC30" s="6" t="inlineStr">
        <is>
          <t>M Vehicles</t>
        </is>
      </c>
      <c r="AD30" s="6" t="inlineStr">
        <is>
          <t>N Vehicles</t>
        </is>
      </c>
      <c r="AE30" s="6" t="inlineStr">
        <is>
          <t>N Vehicles</t>
        </is>
      </c>
      <c r="AF30" s="6" t="inlineStr">
        <is>
          <t>O</t>
        </is>
      </c>
    </row>
    <row r="31">
      <c r="B31" s="22" t="inlineStr">
        <is>
          <t>Staff 7</t>
        </is>
      </c>
      <c r="C31" s="6" t="inlineStr">
        <is>
          <t>O</t>
        </is>
      </c>
      <c r="D31" s="6" t="inlineStr">
        <is>
          <t>M Train</t>
        </is>
      </c>
      <c r="E31" s="6" t="inlineStr">
        <is>
          <t>M Train</t>
        </is>
      </c>
      <c r="F31" s="6" t="inlineStr">
        <is>
          <t>N Train</t>
        </is>
      </c>
      <c r="G31" s="6" t="inlineStr">
        <is>
          <t>N Train</t>
        </is>
      </c>
      <c r="H31" s="6" t="inlineStr">
        <is>
          <t>O</t>
        </is>
      </c>
      <c r="I31" s="6" t="inlineStr">
        <is>
          <t>A Train</t>
        </is>
      </c>
      <c r="J31" s="6" t="inlineStr">
        <is>
          <t>A Train</t>
        </is>
      </c>
      <c r="K31" s="6" t="inlineStr">
        <is>
          <t>O</t>
        </is>
      </c>
      <c r="L31" s="6" t="inlineStr">
        <is>
          <t>M Train</t>
        </is>
      </c>
      <c r="M31" s="6" t="inlineStr">
        <is>
          <t>M Train</t>
        </is>
      </c>
      <c r="N31" s="6" t="inlineStr">
        <is>
          <t>N Train</t>
        </is>
      </c>
      <c r="O31" s="6" t="inlineStr">
        <is>
          <t>N Train</t>
        </is>
      </c>
      <c r="P31" s="6" t="inlineStr">
        <is>
          <t>O</t>
        </is>
      </c>
      <c r="Q31" s="6" t="inlineStr">
        <is>
          <t>A Train</t>
        </is>
      </c>
      <c r="R31" s="6" t="inlineStr">
        <is>
          <t>A Train</t>
        </is>
      </c>
      <c r="S31" s="6" t="inlineStr">
        <is>
          <t>O</t>
        </is>
      </c>
      <c r="T31" s="6" t="inlineStr">
        <is>
          <t>M Train</t>
        </is>
      </c>
      <c r="U31" s="6" t="inlineStr">
        <is>
          <t>M Train</t>
        </is>
      </c>
      <c r="V31" s="6" t="inlineStr">
        <is>
          <t>N Train</t>
        </is>
      </c>
      <c r="W31" s="6" t="inlineStr">
        <is>
          <t>N Train</t>
        </is>
      </c>
      <c r="X31" s="6" t="inlineStr">
        <is>
          <t>O</t>
        </is>
      </c>
      <c r="Y31" s="6" t="inlineStr">
        <is>
          <t>A Train</t>
        </is>
      </c>
      <c r="Z31" s="6" t="inlineStr">
        <is>
          <t>A Train</t>
        </is>
      </c>
      <c r="AA31" s="6" t="inlineStr">
        <is>
          <t>O</t>
        </is>
      </c>
      <c r="AB31" s="6" t="inlineStr">
        <is>
          <t>M Train</t>
        </is>
      </c>
      <c r="AC31" s="6" t="inlineStr">
        <is>
          <t>M Train</t>
        </is>
      </c>
      <c r="AD31" s="6" t="inlineStr">
        <is>
          <t>N Train</t>
        </is>
      </c>
      <c r="AE31" s="6" t="inlineStr">
        <is>
          <t>N Train</t>
        </is>
      </c>
      <c r="AF31" s="6" t="inlineStr">
        <is>
          <t>O</t>
        </is>
      </c>
    </row>
    <row r="32">
      <c r="B32" s="22" t="inlineStr">
        <is>
          <t>Staff 8</t>
        </is>
      </c>
      <c r="C32" s="6" t="inlineStr">
        <is>
          <t>O</t>
        </is>
      </c>
      <c r="D32" s="6" t="inlineStr">
        <is>
          <t>M Pax</t>
        </is>
      </c>
      <c r="E32" s="6" t="inlineStr">
        <is>
          <t>M Pax</t>
        </is>
      </c>
      <c r="F32" s="6" t="inlineStr">
        <is>
          <t>N Pax</t>
        </is>
      </c>
      <c r="G32" s="6" t="inlineStr">
        <is>
          <t>N Pax</t>
        </is>
      </c>
      <c r="H32" s="6" t="inlineStr">
        <is>
          <t>O</t>
        </is>
      </c>
      <c r="I32" s="6" t="inlineStr">
        <is>
          <t>A Pax</t>
        </is>
      </c>
      <c r="J32" s="6" t="inlineStr">
        <is>
          <t>A Pax</t>
        </is>
      </c>
      <c r="K32" s="6" t="inlineStr">
        <is>
          <t>O</t>
        </is>
      </c>
      <c r="L32" s="6" t="inlineStr">
        <is>
          <t>M Pax</t>
        </is>
      </c>
      <c r="M32" s="6" t="inlineStr">
        <is>
          <t>M Pax</t>
        </is>
      </c>
      <c r="N32" s="6" t="inlineStr">
        <is>
          <t>N Pax</t>
        </is>
      </c>
      <c r="O32" s="6" t="inlineStr">
        <is>
          <t>N Pax</t>
        </is>
      </c>
      <c r="P32" s="6" t="inlineStr">
        <is>
          <t>O</t>
        </is>
      </c>
      <c r="Q32" s="6" t="inlineStr">
        <is>
          <t>A Pax</t>
        </is>
      </c>
      <c r="R32" s="6" t="inlineStr">
        <is>
          <t>A Pax</t>
        </is>
      </c>
      <c r="S32" s="6" t="inlineStr">
        <is>
          <t>O</t>
        </is>
      </c>
      <c r="T32" s="6" t="inlineStr">
        <is>
          <t>M Pax</t>
        </is>
      </c>
      <c r="U32" s="6" t="inlineStr">
        <is>
          <t>M Pax</t>
        </is>
      </c>
      <c r="V32" s="6" t="inlineStr">
        <is>
          <t>N Pax</t>
        </is>
      </c>
      <c r="W32" s="6" t="inlineStr">
        <is>
          <t>N Pax</t>
        </is>
      </c>
      <c r="X32" s="6" t="inlineStr">
        <is>
          <t>O</t>
        </is>
      </c>
      <c r="Y32" s="6" t="inlineStr">
        <is>
          <t>A Pax</t>
        </is>
      </c>
      <c r="Z32" s="6" t="inlineStr">
        <is>
          <t>A Pax</t>
        </is>
      </c>
      <c r="AA32" s="6" t="inlineStr">
        <is>
          <t>O</t>
        </is>
      </c>
      <c r="AB32" s="6" t="inlineStr">
        <is>
          <t>M Pax</t>
        </is>
      </c>
      <c r="AC32" s="6" t="inlineStr">
        <is>
          <t>M Pax</t>
        </is>
      </c>
      <c r="AD32" s="6" t="inlineStr">
        <is>
          <t>N Pax</t>
        </is>
      </c>
      <c r="AE32" s="6" t="inlineStr">
        <is>
          <t>N Pax</t>
        </is>
      </c>
      <c r="AF32" s="6" t="inlineStr">
        <is>
          <t>O</t>
        </is>
      </c>
    </row>
    <row r="33">
      <c r="B33" s="22" t="inlineStr">
        <is>
          <t>Staff 9</t>
        </is>
      </c>
      <c r="C33" s="6" t="inlineStr">
        <is>
          <t>O</t>
        </is>
      </c>
      <c r="D33" s="6" t="inlineStr">
        <is>
          <t>M Cargo</t>
        </is>
      </c>
      <c r="E33" s="6" t="inlineStr">
        <is>
          <t>M Cargo</t>
        </is>
      </c>
      <c r="F33" s="6" t="inlineStr">
        <is>
          <t>N Cargo</t>
        </is>
      </c>
      <c r="G33" s="6" t="inlineStr">
        <is>
          <t>N Cargo</t>
        </is>
      </c>
      <c r="H33" s="6" t="inlineStr">
        <is>
          <t>O</t>
        </is>
      </c>
      <c r="I33" s="6" t="inlineStr">
        <is>
          <t>A Cargo</t>
        </is>
      </c>
      <c r="J33" s="6" t="inlineStr">
        <is>
          <t>A Cargo</t>
        </is>
      </c>
      <c r="K33" s="6" t="inlineStr">
        <is>
          <t>O</t>
        </is>
      </c>
      <c r="L33" s="6" t="inlineStr">
        <is>
          <t>M Cargo</t>
        </is>
      </c>
      <c r="M33" s="6" t="inlineStr">
        <is>
          <t>M Cargo</t>
        </is>
      </c>
      <c r="N33" s="6" t="inlineStr">
        <is>
          <t>N Cargo</t>
        </is>
      </c>
      <c r="O33" s="6" t="inlineStr">
        <is>
          <t>N Cargo</t>
        </is>
      </c>
      <c r="P33" s="6" t="inlineStr">
        <is>
          <t>O</t>
        </is>
      </c>
      <c r="Q33" s="6" t="inlineStr">
        <is>
          <t>A Cargo</t>
        </is>
      </c>
      <c r="R33" s="6" t="inlineStr">
        <is>
          <t>A Cargo</t>
        </is>
      </c>
      <c r="S33" s="6" t="inlineStr">
        <is>
          <t>O</t>
        </is>
      </c>
      <c r="T33" s="6" t="inlineStr">
        <is>
          <t>M Cargo</t>
        </is>
      </c>
      <c r="U33" s="6" t="inlineStr">
        <is>
          <t>M Cargo</t>
        </is>
      </c>
      <c r="V33" s="6" t="inlineStr">
        <is>
          <t>N Cargo</t>
        </is>
      </c>
      <c r="W33" s="6" t="inlineStr">
        <is>
          <t>N Cargo</t>
        </is>
      </c>
      <c r="X33" s="6" t="inlineStr">
        <is>
          <t>O</t>
        </is>
      </c>
      <c r="Y33" s="6" t="inlineStr">
        <is>
          <t>A Cargo</t>
        </is>
      </c>
      <c r="Z33" s="6" t="inlineStr">
        <is>
          <t>A Cargo</t>
        </is>
      </c>
      <c r="AA33" s="6" t="inlineStr">
        <is>
          <t>O</t>
        </is>
      </c>
      <c r="AB33" s="6" t="inlineStr">
        <is>
          <t>M Cargo</t>
        </is>
      </c>
      <c r="AC33" s="6" t="inlineStr">
        <is>
          <t>M Cargo</t>
        </is>
      </c>
      <c r="AD33" s="6" t="inlineStr">
        <is>
          <t>N Cargo</t>
        </is>
      </c>
      <c r="AE33" s="6" t="inlineStr">
        <is>
          <t>N Cargo</t>
        </is>
      </c>
      <c r="AF33" s="6" t="inlineStr">
        <is>
          <t>O</t>
        </is>
      </c>
    </row>
    <row r="34">
      <c r="B34" s="22" t="inlineStr">
        <is>
          <t>Staff 10</t>
        </is>
      </c>
      <c r="C34" s="6" t="inlineStr">
        <is>
          <t>A Vehicles</t>
        </is>
      </c>
      <c r="D34" s="6" t="inlineStr">
        <is>
          <t>A Vehicles</t>
        </is>
      </c>
      <c r="E34" s="6" t="inlineStr">
        <is>
          <t>O</t>
        </is>
      </c>
      <c r="F34" s="6" t="inlineStr">
        <is>
          <t>M Vehicles</t>
        </is>
      </c>
      <c r="G34" s="6" t="inlineStr">
        <is>
          <t>M Vehicles</t>
        </is>
      </c>
      <c r="H34" s="6" t="inlineStr">
        <is>
          <t>N Vehicles</t>
        </is>
      </c>
      <c r="I34" s="6" t="inlineStr">
        <is>
          <t>N Vehicles</t>
        </is>
      </c>
      <c r="J34" s="6" t="inlineStr">
        <is>
          <t>O</t>
        </is>
      </c>
      <c r="K34" s="6" t="inlineStr">
        <is>
          <t>A Vehicles</t>
        </is>
      </c>
      <c r="L34" s="6" t="inlineStr">
        <is>
          <t>A Vehicles</t>
        </is>
      </c>
      <c r="M34" s="6" t="inlineStr">
        <is>
          <t>O</t>
        </is>
      </c>
      <c r="N34" s="6" t="inlineStr">
        <is>
          <t>M Vehicles</t>
        </is>
      </c>
      <c r="O34" s="6" t="inlineStr">
        <is>
          <t>M Vehicles</t>
        </is>
      </c>
      <c r="P34" s="6" t="inlineStr">
        <is>
          <t>N Vehicles</t>
        </is>
      </c>
      <c r="Q34" s="6" t="inlineStr">
        <is>
          <t>N Vehicles</t>
        </is>
      </c>
      <c r="R34" s="6" t="inlineStr">
        <is>
          <t>O</t>
        </is>
      </c>
      <c r="S34" s="6" t="inlineStr">
        <is>
          <t>A Vehicles</t>
        </is>
      </c>
      <c r="T34" s="6" t="inlineStr">
        <is>
          <t>A Vehicles</t>
        </is>
      </c>
      <c r="U34" s="6" t="inlineStr">
        <is>
          <t>O</t>
        </is>
      </c>
      <c r="V34" s="6" t="inlineStr">
        <is>
          <t>M Vehicles</t>
        </is>
      </c>
      <c r="W34" s="6" t="inlineStr">
        <is>
          <t>M Vehicles</t>
        </is>
      </c>
      <c r="X34" s="6" t="inlineStr">
        <is>
          <t>N Vehicles</t>
        </is>
      </c>
      <c r="Y34" s="6" t="inlineStr">
        <is>
          <t>N Vehicles</t>
        </is>
      </c>
      <c r="Z34" s="6" t="inlineStr">
        <is>
          <t>O</t>
        </is>
      </c>
      <c r="AA34" s="6" t="inlineStr">
        <is>
          <t>A Vehicles</t>
        </is>
      </c>
      <c r="AB34" s="6" t="inlineStr">
        <is>
          <t>A Vehicles</t>
        </is>
      </c>
      <c r="AC34" s="6" t="inlineStr">
        <is>
          <t>O</t>
        </is>
      </c>
      <c r="AD34" s="6" t="inlineStr">
        <is>
          <t>M Vehicles</t>
        </is>
      </c>
      <c r="AE34" s="6" t="inlineStr">
        <is>
          <t>M Vehicles</t>
        </is>
      </c>
      <c r="AF34" s="6" t="inlineStr">
        <is>
          <t>N Vehicles</t>
        </is>
      </c>
    </row>
    <row r="35">
      <c r="B35" s="22" t="inlineStr">
        <is>
          <t>Staff 11</t>
        </is>
      </c>
      <c r="C35" s="6" t="inlineStr">
        <is>
          <t>A Train</t>
        </is>
      </c>
      <c r="D35" s="6" t="inlineStr">
        <is>
          <t>A Train</t>
        </is>
      </c>
      <c r="E35" s="6" t="inlineStr">
        <is>
          <t>O</t>
        </is>
      </c>
      <c r="F35" s="6" t="inlineStr">
        <is>
          <t>M Train</t>
        </is>
      </c>
      <c r="G35" s="6" t="inlineStr">
        <is>
          <t>M Train</t>
        </is>
      </c>
      <c r="H35" s="6" t="inlineStr">
        <is>
          <t>N Train</t>
        </is>
      </c>
      <c r="I35" s="6" t="inlineStr">
        <is>
          <t>N Train</t>
        </is>
      </c>
      <c r="J35" s="6" t="inlineStr">
        <is>
          <t>O</t>
        </is>
      </c>
      <c r="K35" s="6" t="inlineStr">
        <is>
          <t>A Train</t>
        </is>
      </c>
      <c r="L35" s="6" t="inlineStr">
        <is>
          <t>A Train</t>
        </is>
      </c>
      <c r="M35" s="6" t="inlineStr">
        <is>
          <t>O</t>
        </is>
      </c>
      <c r="N35" s="6" t="inlineStr">
        <is>
          <t>M Train</t>
        </is>
      </c>
      <c r="O35" s="6" t="inlineStr">
        <is>
          <t>M Train</t>
        </is>
      </c>
      <c r="P35" s="6" t="inlineStr">
        <is>
          <t>N Train</t>
        </is>
      </c>
      <c r="Q35" s="6" t="inlineStr">
        <is>
          <t>N Train</t>
        </is>
      </c>
      <c r="R35" s="6" t="inlineStr">
        <is>
          <t>O</t>
        </is>
      </c>
      <c r="S35" s="6" t="inlineStr">
        <is>
          <t>A Train</t>
        </is>
      </c>
      <c r="T35" s="6" t="inlineStr">
        <is>
          <t>A Train</t>
        </is>
      </c>
      <c r="U35" s="6" t="inlineStr">
        <is>
          <t>O</t>
        </is>
      </c>
      <c r="V35" s="6" t="inlineStr">
        <is>
          <t>M Train</t>
        </is>
      </c>
      <c r="W35" s="6" t="inlineStr">
        <is>
          <t>M Train</t>
        </is>
      </c>
      <c r="X35" s="6" t="inlineStr">
        <is>
          <t>N Train</t>
        </is>
      </c>
      <c r="Y35" s="6" t="inlineStr">
        <is>
          <t>N Train</t>
        </is>
      </c>
      <c r="Z35" s="6" t="inlineStr">
        <is>
          <t>O</t>
        </is>
      </c>
      <c r="AA35" s="6" t="inlineStr">
        <is>
          <t>A Train</t>
        </is>
      </c>
      <c r="AB35" s="6" t="inlineStr">
        <is>
          <t>A Train</t>
        </is>
      </c>
      <c r="AC35" s="6" t="inlineStr">
        <is>
          <t>O</t>
        </is>
      </c>
      <c r="AD35" s="6" t="inlineStr">
        <is>
          <t>M Train</t>
        </is>
      </c>
      <c r="AE35" s="6" t="inlineStr">
        <is>
          <t>M Train</t>
        </is>
      </c>
      <c r="AF35" s="6" t="inlineStr">
        <is>
          <t>N Train</t>
        </is>
      </c>
    </row>
    <row r="36">
      <c r="B36" s="22" t="inlineStr">
        <is>
          <t>Staff 12</t>
        </is>
      </c>
      <c r="C36" s="6" t="inlineStr">
        <is>
          <t>A Pax</t>
        </is>
      </c>
      <c r="D36" s="6" t="inlineStr">
        <is>
          <t>A Pax</t>
        </is>
      </c>
      <c r="E36" s="6" t="inlineStr">
        <is>
          <t>O</t>
        </is>
      </c>
      <c r="F36" s="6" t="inlineStr">
        <is>
          <t>M Pax</t>
        </is>
      </c>
      <c r="G36" s="6" t="inlineStr">
        <is>
          <t>M Pax</t>
        </is>
      </c>
      <c r="H36" s="6" t="inlineStr">
        <is>
          <t>N Pax</t>
        </is>
      </c>
      <c r="I36" s="6" t="inlineStr">
        <is>
          <t>N Pax</t>
        </is>
      </c>
      <c r="J36" s="6" t="inlineStr">
        <is>
          <t>O</t>
        </is>
      </c>
      <c r="K36" s="6" t="inlineStr">
        <is>
          <t>A Pax</t>
        </is>
      </c>
      <c r="L36" s="6" t="inlineStr">
        <is>
          <t>A Pax</t>
        </is>
      </c>
      <c r="M36" s="6" t="inlineStr">
        <is>
          <t>O</t>
        </is>
      </c>
      <c r="N36" s="6" t="inlineStr">
        <is>
          <t>M Pax</t>
        </is>
      </c>
      <c r="O36" s="6" t="inlineStr">
        <is>
          <t>M Pax</t>
        </is>
      </c>
      <c r="P36" s="6" t="inlineStr">
        <is>
          <t>N Pax</t>
        </is>
      </c>
      <c r="Q36" s="6" t="inlineStr">
        <is>
          <t>N Pax</t>
        </is>
      </c>
      <c r="R36" s="6" t="inlineStr">
        <is>
          <t>O</t>
        </is>
      </c>
      <c r="S36" s="6" t="inlineStr">
        <is>
          <t>A Pax</t>
        </is>
      </c>
      <c r="T36" s="6" t="inlineStr">
        <is>
          <t>A Pax</t>
        </is>
      </c>
      <c r="U36" s="6" t="inlineStr">
        <is>
          <t>O</t>
        </is>
      </c>
      <c r="V36" s="6" t="inlineStr">
        <is>
          <t>M Pax</t>
        </is>
      </c>
      <c r="W36" s="6" t="inlineStr">
        <is>
          <t>M Pax</t>
        </is>
      </c>
      <c r="X36" s="6" t="inlineStr">
        <is>
          <t>N Pax</t>
        </is>
      </c>
      <c r="Y36" s="6" t="inlineStr">
        <is>
          <t>N Pax</t>
        </is>
      </c>
      <c r="Z36" s="6" t="inlineStr">
        <is>
          <t>O</t>
        </is>
      </c>
      <c r="AA36" s="6" t="inlineStr">
        <is>
          <t>A Pax</t>
        </is>
      </c>
      <c r="AB36" s="6" t="inlineStr">
        <is>
          <t>A Pax</t>
        </is>
      </c>
      <c r="AC36" s="6" t="inlineStr">
        <is>
          <t>O</t>
        </is>
      </c>
      <c r="AD36" s="6" t="inlineStr">
        <is>
          <t>M Pax</t>
        </is>
      </c>
      <c r="AE36" s="6" t="inlineStr">
        <is>
          <t>M Pax</t>
        </is>
      </c>
      <c r="AF36" s="6" t="inlineStr">
        <is>
          <t>N Pax</t>
        </is>
      </c>
    </row>
    <row r="37">
      <c r="B37" s="22" t="inlineStr">
        <is>
          <t>Staff 13</t>
        </is>
      </c>
      <c r="C37" s="6" t="inlineStr">
        <is>
          <t>A Cargo</t>
        </is>
      </c>
      <c r="D37" s="6" t="inlineStr">
        <is>
          <t>A Cargo</t>
        </is>
      </c>
      <c r="E37" s="6" t="inlineStr">
        <is>
          <t>O</t>
        </is>
      </c>
      <c r="F37" s="6" t="inlineStr">
        <is>
          <t>M Cargo</t>
        </is>
      </c>
      <c r="G37" s="6" t="inlineStr">
        <is>
          <t>M Cargo</t>
        </is>
      </c>
      <c r="H37" s="6" t="inlineStr">
        <is>
          <t>N Cargo</t>
        </is>
      </c>
      <c r="I37" s="6" t="inlineStr">
        <is>
          <t>N Cargo</t>
        </is>
      </c>
      <c r="J37" s="6" t="inlineStr">
        <is>
          <t>O</t>
        </is>
      </c>
      <c r="K37" s="6" t="inlineStr">
        <is>
          <t>A Cargo</t>
        </is>
      </c>
      <c r="L37" s="6" t="inlineStr">
        <is>
          <t>A Cargo</t>
        </is>
      </c>
      <c r="M37" s="6" t="inlineStr">
        <is>
          <t>O</t>
        </is>
      </c>
      <c r="N37" s="6" t="inlineStr">
        <is>
          <t>M Cargo</t>
        </is>
      </c>
      <c r="O37" s="6" t="inlineStr">
        <is>
          <t>M Cargo</t>
        </is>
      </c>
      <c r="P37" s="6" t="inlineStr">
        <is>
          <t>N Cargo</t>
        </is>
      </c>
      <c r="Q37" s="6" t="inlineStr">
        <is>
          <t>N Cargo</t>
        </is>
      </c>
      <c r="R37" s="6" t="inlineStr">
        <is>
          <t>O</t>
        </is>
      </c>
      <c r="S37" s="6" t="inlineStr">
        <is>
          <t>A Cargo</t>
        </is>
      </c>
      <c r="T37" s="6" t="inlineStr">
        <is>
          <t>A Cargo</t>
        </is>
      </c>
      <c r="U37" s="6" t="inlineStr">
        <is>
          <t>O</t>
        </is>
      </c>
      <c r="V37" s="6" t="inlineStr">
        <is>
          <t>M Cargo</t>
        </is>
      </c>
      <c r="W37" s="6" t="inlineStr">
        <is>
          <t>M Cargo</t>
        </is>
      </c>
      <c r="X37" s="6" t="inlineStr">
        <is>
          <t>N Cargo</t>
        </is>
      </c>
      <c r="Y37" s="6" t="inlineStr">
        <is>
          <t>N Cargo</t>
        </is>
      </c>
      <c r="Z37" s="6" t="inlineStr">
        <is>
          <t>O</t>
        </is>
      </c>
      <c r="AA37" s="6" t="inlineStr">
        <is>
          <t>A Cargo</t>
        </is>
      </c>
      <c r="AB37" s="6" t="inlineStr">
        <is>
          <t>A Cargo</t>
        </is>
      </c>
      <c r="AC37" s="6" t="inlineStr">
        <is>
          <t>O</t>
        </is>
      </c>
      <c r="AD37" s="6" t="inlineStr">
        <is>
          <t>M Cargo</t>
        </is>
      </c>
      <c r="AE37" s="6" t="inlineStr">
        <is>
          <t>M Cargo</t>
        </is>
      </c>
      <c r="AF37" s="6" t="inlineStr">
        <is>
          <t>N Cargo</t>
        </is>
      </c>
    </row>
    <row r="38">
      <c r="B38" s="22" t="inlineStr">
        <is>
          <t>Staff 14</t>
        </is>
      </c>
      <c r="C38" s="6" t="inlineStr">
        <is>
          <t>O</t>
        </is>
      </c>
      <c r="D38" s="6" t="inlineStr">
        <is>
          <t>O</t>
        </is>
      </c>
      <c r="E38" s="6" t="inlineStr">
        <is>
          <t>O</t>
        </is>
      </c>
      <c r="F38" s="6" t="inlineStr">
        <is>
          <t>O</t>
        </is>
      </c>
      <c r="G38" s="6" t="inlineStr">
        <is>
          <t>O</t>
        </is>
      </c>
      <c r="H38" s="6" t="inlineStr">
        <is>
          <t>O</t>
        </is>
      </c>
      <c r="I38" s="6" t="inlineStr">
        <is>
          <t>O</t>
        </is>
      </c>
      <c r="J38" s="6" t="inlineStr">
        <is>
          <t>O</t>
        </is>
      </c>
      <c r="K38" s="6" t="inlineStr">
        <is>
          <t>O</t>
        </is>
      </c>
      <c r="L38" s="6" t="inlineStr">
        <is>
          <t>O</t>
        </is>
      </c>
      <c r="M38" s="6" t="inlineStr">
        <is>
          <t>O</t>
        </is>
      </c>
      <c r="N38" s="6" t="inlineStr">
        <is>
          <t>O</t>
        </is>
      </c>
      <c r="O38" s="6" t="inlineStr">
        <is>
          <t>O</t>
        </is>
      </c>
      <c r="P38" s="6" t="inlineStr">
        <is>
          <t>O</t>
        </is>
      </c>
      <c r="Q38" s="6" t="inlineStr">
        <is>
          <t>O</t>
        </is>
      </c>
      <c r="R38" s="6" t="inlineStr">
        <is>
          <t>O</t>
        </is>
      </c>
      <c r="S38" s="6" t="inlineStr">
        <is>
          <t>O</t>
        </is>
      </c>
      <c r="T38" s="6" t="inlineStr">
        <is>
          <t>O</t>
        </is>
      </c>
      <c r="U38" s="6" t="inlineStr">
        <is>
          <t>O</t>
        </is>
      </c>
      <c r="V38" s="6" t="inlineStr">
        <is>
          <t>O</t>
        </is>
      </c>
      <c r="W38" s="6" t="inlineStr">
        <is>
          <t>O</t>
        </is>
      </c>
      <c r="X38" s="6" t="inlineStr">
        <is>
          <t>O</t>
        </is>
      </c>
      <c r="Y38" s="6" t="inlineStr">
        <is>
          <t>O</t>
        </is>
      </c>
      <c r="Z38" s="6" t="inlineStr">
        <is>
          <t>O</t>
        </is>
      </c>
      <c r="AA38" s="6" t="inlineStr">
        <is>
          <t>O</t>
        </is>
      </c>
      <c r="AB38" s="6" t="inlineStr">
        <is>
          <t>O</t>
        </is>
      </c>
      <c r="AC38" s="6" t="inlineStr">
        <is>
          <t>O</t>
        </is>
      </c>
      <c r="AD38" s="6" t="inlineStr">
        <is>
          <t>O</t>
        </is>
      </c>
      <c r="AE38" s="6" t="inlineStr">
        <is>
          <t>O</t>
        </is>
      </c>
      <c r="AF38" s="6" t="inlineStr">
        <is>
          <t>O</t>
        </is>
      </c>
    </row>
    <row r="39">
      <c r="B39" s="22" t="inlineStr">
        <is>
          <t>Staff 15</t>
        </is>
      </c>
      <c r="C39" s="6" t="inlineStr">
        <is>
          <t>N Vehicles</t>
        </is>
      </c>
      <c r="D39" s="6" t="inlineStr">
        <is>
          <t>O</t>
        </is>
      </c>
      <c r="E39" s="6" t="inlineStr">
        <is>
          <t>A Vehicles</t>
        </is>
      </c>
      <c r="F39" s="6" t="inlineStr">
        <is>
          <t>A Vehicles</t>
        </is>
      </c>
      <c r="G39" s="6" t="inlineStr">
        <is>
          <t>O</t>
        </is>
      </c>
      <c r="H39" s="6" t="inlineStr">
        <is>
          <t>M Vehicles</t>
        </is>
      </c>
      <c r="I39" s="6" t="inlineStr">
        <is>
          <t>M Vehicles</t>
        </is>
      </c>
      <c r="J39" s="6" t="inlineStr">
        <is>
          <t>N Vehicles</t>
        </is>
      </c>
      <c r="K39" s="6" t="inlineStr">
        <is>
          <t>N Vehicles</t>
        </is>
      </c>
      <c r="L39" s="6" t="inlineStr">
        <is>
          <t>O</t>
        </is>
      </c>
      <c r="M39" s="6" t="inlineStr">
        <is>
          <t>A Vehicles</t>
        </is>
      </c>
      <c r="N39" s="6" t="inlineStr">
        <is>
          <t>A Vehicles</t>
        </is>
      </c>
      <c r="O39" s="6" t="inlineStr">
        <is>
          <t>O</t>
        </is>
      </c>
      <c r="P39" s="6" t="inlineStr">
        <is>
          <t>M Vehicles</t>
        </is>
      </c>
      <c r="Q39" s="6" t="inlineStr">
        <is>
          <t>M Vehicles</t>
        </is>
      </c>
      <c r="R39" s="6" t="inlineStr">
        <is>
          <t>N Vehicles</t>
        </is>
      </c>
      <c r="S39" s="6" t="inlineStr">
        <is>
          <t>N Vehicles</t>
        </is>
      </c>
      <c r="T39" s="6" t="inlineStr">
        <is>
          <t>O</t>
        </is>
      </c>
      <c r="U39" s="6" t="inlineStr">
        <is>
          <t>A Vehicles</t>
        </is>
      </c>
      <c r="V39" s="6" t="inlineStr">
        <is>
          <t>A Vehicles</t>
        </is>
      </c>
      <c r="W39" s="6" t="inlineStr">
        <is>
          <t>O</t>
        </is>
      </c>
      <c r="X39" s="6" t="inlineStr">
        <is>
          <t>M Vehicles</t>
        </is>
      </c>
      <c r="Y39" s="6" t="inlineStr">
        <is>
          <t>M Vehicles</t>
        </is>
      </c>
      <c r="Z39" s="6" t="inlineStr">
        <is>
          <t>N Vehicles</t>
        </is>
      </c>
      <c r="AA39" s="6" t="inlineStr">
        <is>
          <t>N Vehicles</t>
        </is>
      </c>
      <c r="AB39" s="6" t="inlineStr">
        <is>
          <t>O</t>
        </is>
      </c>
      <c r="AC39" s="6" t="inlineStr">
        <is>
          <t>A Vehicles</t>
        </is>
      </c>
      <c r="AD39" s="6" t="inlineStr">
        <is>
          <t>A Vehicles</t>
        </is>
      </c>
      <c r="AE39" s="6" t="inlineStr">
        <is>
          <t>O</t>
        </is>
      </c>
      <c r="AF39" s="6" t="inlineStr">
        <is>
          <t>M Vehicles</t>
        </is>
      </c>
    </row>
    <row r="40">
      <c r="B40" s="22" t="inlineStr">
        <is>
          <t>Staff 16</t>
        </is>
      </c>
      <c r="C40" s="6" t="inlineStr">
        <is>
          <t>N Cargo</t>
        </is>
      </c>
      <c r="D40" s="6" t="inlineStr">
        <is>
          <t>O</t>
        </is>
      </c>
      <c r="E40" s="6" t="inlineStr">
        <is>
          <t>A Cargo</t>
        </is>
      </c>
      <c r="F40" s="6" t="inlineStr">
        <is>
          <t>A Cargo</t>
        </is>
      </c>
      <c r="G40" s="6" t="inlineStr">
        <is>
          <t>O</t>
        </is>
      </c>
      <c r="H40" s="6" t="inlineStr">
        <is>
          <t>M Cargo</t>
        </is>
      </c>
      <c r="I40" s="6" t="inlineStr">
        <is>
          <t>M Cargo</t>
        </is>
      </c>
      <c r="J40" s="6" t="inlineStr">
        <is>
          <t>N Cargo</t>
        </is>
      </c>
      <c r="K40" s="6" t="inlineStr">
        <is>
          <t>N Cargo</t>
        </is>
      </c>
      <c r="L40" s="6" t="inlineStr">
        <is>
          <t>O</t>
        </is>
      </c>
      <c r="M40" s="6" t="inlineStr">
        <is>
          <t>A Cargo</t>
        </is>
      </c>
      <c r="N40" s="6" t="inlineStr">
        <is>
          <t>A Cargo</t>
        </is>
      </c>
      <c r="O40" s="6" t="inlineStr">
        <is>
          <t>O</t>
        </is>
      </c>
      <c r="P40" s="6" t="inlineStr">
        <is>
          <t>M Cargo</t>
        </is>
      </c>
      <c r="Q40" s="6" t="inlineStr">
        <is>
          <t>M Cargo</t>
        </is>
      </c>
      <c r="R40" s="6" t="inlineStr">
        <is>
          <t>N Cargo</t>
        </is>
      </c>
      <c r="S40" s="6" t="inlineStr">
        <is>
          <t>N Cargo</t>
        </is>
      </c>
      <c r="T40" s="6" t="inlineStr">
        <is>
          <t>O</t>
        </is>
      </c>
      <c r="U40" s="6" t="inlineStr">
        <is>
          <t>A Cargo</t>
        </is>
      </c>
      <c r="V40" s="6" t="inlineStr">
        <is>
          <t>A Cargo</t>
        </is>
      </c>
      <c r="W40" s="6" t="inlineStr">
        <is>
          <t>O</t>
        </is>
      </c>
      <c r="X40" s="6" t="inlineStr">
        <is>
          <t>M Cargo</t>
        </is>
      </c>
      <c r="Y40" s="6" t="inlineStr">
        <is>
          <t>M Cargo</t>
        </is>
      </c>
      <c r="Z40" s="6" t="inlineStr">
        <is>
          <t>N Cargo</t>
        </is>
      </c>
      <c r="AA40" s="6" t="inlineStr">
        <is>
          <t>N Cargo</t>
        </is>
      </c>
      <c r="AB40" s="6" t="inlineStr">
        <is>
          <t>O</t>
        </is>
      </c>
      <c r="AC40" s="6" t="inlineStr">
        <is>
          <t>A Cargo</t>
        </is>
      </c>
      <c r="AD40" s="6" t="inlineStr">
        <is>
          <t>A Cargo</t>
        </is>
      </c>
      <c r="AE40" s="6" t="inlineStr">
        <is>
          <t>O</t>
        </is>
      </c>
      <c r="AF40" s="6" t="inlineStr">
        <is>
          <t>M Cargo</t>
        </is>
      </c>
    </row>
    <row r="41">
      <c r="B41" s="22" t="inlineStr">
        <is>
          <t>Staff 17</t>
        </is>
      </c>
      <c r="C41" s="6" t="inlineStr">
        <is>
          <t>N Train</t>
        </is>
      </c>
      <c r="D41" s="6" t="inlineStr">
        <is>
          <t>O</t>
        </is>
      </c>
      <c r="E41" s="6" t="inlineStr">
        <is>
          <t>A Train</t>
        </is>
      </c>
      <c r="F41" s="6" t="inlineStr">
        <is>
          <t>A Train</t>
        </is>
      </c>
      <c r="G41" s="6" t="inlineStr">
        <is>
          <t>O</t>
        </is>
      </c>
      <c r="H41" s="6" t="inlineStr">
        <is>
          <t>M Train</t>
        </is>
      </c>
      <c r="I41" s="6" t="inlineStr">
        <is>
          <t>M Train</t>
        </is>
      </c>
      <c r="J41" s="6" t="inlineStr">
        <is>
          <t>N Train</t>
        </is>
      </c>
      <c r="K41" s="6" t="inlineStr">
        <is>
          <t>N Train</t>
        </is>
      </c>
      <c r="L41" s="6" t="inlineStr">
        <is>
          <t>O</t>
        </is>
      </c>
      <c r="M41" s="6" t="inlineStr">
        <is>
          <t>A Train</t>
        </is>
      </c>
      <c r="N41" s="6" t="inlineStr">
        <is>
          <t>A Train</t>
        </is>
      </c>
      <c r="O41" s="6" t="inlineStr">
        <is>
          <t>O</t>
        </is>
      </c>
      <c r="P41" s="6" t="inlineStr">
        <is>
          <t>M Train</t>
        </is>
      </c>
      <c r="Q41" s="6" t="inlineStr">
        <is>
          <t>M Train</t>
        </is>
      </c>
      <c r="R41" s="6" t="inlineStr">
        <is>
          <t>N Train</t>
        </is>
      </c>
      <c r="S41" s="6" t="inlineStr">
        <is>
          <t>N Train</t>
        </is>
      </c>
      <c r="T41" s="6" t="inlineStr">
        <is>
          <t>O</t>
        </is>
      </c>
      <c r="U41" s="6" t="inlineStr">
        <is>
          <t>A Train</t>
        </is>
      </c>
      <c r="V41" s="6" t="inlineStr">
        <is>
          <t>A Train</t>
        </is>
      </c>
      <c r="W41" s="6" t="inlineStr">
        <is>
          <t>O</t>
        </is>
      </c>
      <c r="X41" s="6" t="inlineStr">
        <is>
          <t>M Train</t>
        </is>
      </c>
      <c r="Y41" s="6" t="inlineStr">
        <is>
          <t>M Train</t>
        </is>
      </c>
      <c r="Z41" s="6" t="inlineStr">
        <is>
          <t>N Train</t>
        </is>
      </c>
      <c r="AA41" s="6" t="inlineStr">
        <is>
          <t>N Train</t>
        </is>
      </c>
      <c r="AB41" s="6" t="inlineStr">
        <is>
          <t>O</t>
        </is>
      </c>
      <c r="AC41" s="6" t="inlineStr">
        <is>
          <t>A Train</t>
        </is>
      </c>
      <c r="AD41" s="6" t="inlineStr">
        <is>
          <t>A Train</t>
        </is>
      </c>
      <c r="AE41" s="6" t="inlineStr">
        <is>
          <t>O</t>
        </is>
      </c>
      <c r="AF41" s="6" t="inlineStr">
        <is>
          <t>M Train</t>
        </is>
      </c>
    </row>
    <row r="42">
      <c r="B42" s="22" t="inlineStr">
        <is>
          <t>Staff 18</t>
        </is>
      </c>
      <c r="C42" s="6" t="inlineStr">
        <is>
          <t>N Pax</t>
        </is>
      </c>
      <c r="D42" s="6" t="inlineStr">
        <is>
          <t>O</t>
        </is>
      </c>
      <c r="E42" s="6" t="inlineStr">
        <is>
          <t>A Pax</t>
        </is>
      </c>
      <c r="F42" s="6" t="inlineStr">
        <is>
          <t>A Pax</t>
        </is>
      </c>
      <c r="G42" s="6" t="inlineStr">
        <is>
          <t>O</t>
        </is>
      </c>
      <c r="H42" s="6" t="inlineStr">
        <is>
          <t>M Pax</t>
        </is>
      </c>
      <c r="I42" s="6" t="inlineStr">
        <is>
          <t>M Pax</t>
        </is>
      </c>
      <c r="J42" s="6" t="inlineStr">
        <is>
          <t>N Pax</t>
        </is>
      </c>
      <c r="K42" s="6" t="inlineStr">
        <is>
          <t>N Pax</t>
        </is>
      </c>
      <c r="L42" s="6" t="inlineStr">
        <is>
          <t>O</t>
        </is>
      </c>
      <c r="M42" s="6" t="inlineStr">
        <is>
          <t>A Pax</t>
        </is>
      </c>
      <c r="N42" s="6" t="inlineStr">
        <is>
          <t>A Pax</t>
        </is>
      </c>
      <c r="O42" s="6" t="inlineStr">
        <is>
          <t>O</t>
        </is>
      </c>
      <c r="P42" s="6" t="inlineStr">
        <is>
          <t>M Pax</t>
        </is>
      </c>
      <c r="Q42" s="6" t="inlineStr">
        <is>
          <t>M Pax</t>
        </is>
      </c>
      <c r="R42" s="6" t="inlineStr">
        <is>
          <t>N Pax</t>
        </is>
      </c>
      <c r="S42" s="6" t="inlineStr">
        <is>
          <t>N Pax</t>
        </is>
      </c>
      <c r="T42" s="6" t="inlineStr">
        <is>
          <t>O</t>
        </is>
      </c>
      <c r="U42" s="6" t="inlineStr">
        <is>
          <t>A Pax</t>
        </is>
      </c>
      <c r="V42" s="6" t="inlineStr">
        <is>
          <t>A Pax</t>
        </is>
      </c>
      <c r="W42" s="6" t="inlineStr">
        <is>
          <t>O</t>
        </is>
      </c>
      <c r="X42" s="6" t="inlineStr">
        <is>
          <t>M Pax</t>
        </is>
      </c>
      <c r="Y42" s="6" t="inlineStr">
        <is>
          <t>M Pax</t>
        </is>
      </c>
      <c r="Z42" s="6" t="inlineStr">
        <is>
          <t>N Pax</t>
        </is>
      </c>
      <c r="AA42" s="6" t="inlineStr">
        <is>
          <t>N Pax</t>
        </is>
      </c>
      <c r="AB42" s="6" t="inlineStr">
        <is>
          <t>O</t>
        </is>
      </c>
      <c r="AC42" s="6" t="inlineStr">
        <is>
          <t>A Pax</t>
        </is>
      </c>
      <c r="AD42" s="6" t="inlineStr">
        <is>
          <t>A Pax</t>
        </is>
      </c>
      <c r="AE42" s="6" t="inlineStr">
        <is>
          <t>O</t>
        </is>
      </c>
      <c r="AF42" s="6" t="inlineStr">
        <is>
          <t>M Pax</t>
        </is>
      </c>
    </row>
    <row r="43">
      <c r="B43" s="23" t="inlineStr">
        <is>
          <t>Staff 19</t>
        </is>
      </c>
      <c r="C43" s="10" t="inlineStr">
        <is>
          <t>N Vehicles</t>
        </is>
      </c>
      <c r="D43" s="10" t="inlineStr">
        <is>
          <t>O</t>
        </is>
      </c>
      <c r="E43" s="10" t="inlineStr">
        <is>
          <t>A Vehicles</t>
        </is>
      </c>
      <c r="F43" s="10" t="inlineStr">
        <is>
          <t>A Vehicles</t>
        </is>
      </c>
      <c r="G43" s="10" t="inlineStr">
        <is>
          <t>O</t>
        </is>
      </c>
      <c r="H43" s="10" t="inlineStr">
        <is>
          <t>M Vehicles</t>
        </is>
      </c>
      <c r="I43" s="10" t="inlineStr">
        <is>
          <t>M Vehicles</t>
        </is>
      </c>
      <c r="J43" s="10" t="inlineStr">
        <is>
          <t>N Vehicles</t>
        </is>
      </c>
      <c r="K43" s="10" t="inlineStr">
        <is>
          <t>N Vehicles</t>
        </is>
      </c>
      <c r="L43" s="10" t="inlineStr">
        <is>
          <t>O</t>
        </is>
      </c>
      <c r="M43" s="10" t="inlineStr">
        <is>
          <t>A Vehicles</t>
        </is>
      </c>
      <c r="N43" s="10" t="inlineStr">
        <is>
          <t>A Vehicles</t>
        </is>
      </c>
      <c r="O43" s="10" t="inlineStr">
        <is>
          <t>O</t>
        </is>
      </c>
      <c r="P43" s="10" t="inlineStr">
        <is>
          <t>M Vehicles</t>
        </is>
      </c>
      <c r="Q43" s="10" t="inlineStr">
        <is>
          <t>M Vehicles</t>
        </is>
      </c>
      <c r="R43" s="10" t="inlineStr">
        <is>
          <t>N Vehicles</t>
        </is>
      </c>
      <c r="S43" s="10" t="inlineStr">
        <is>
          <t>N Vehicles</t>
        </is>
      </c>
      <c r="T43" s="10" t="inlineStr">
        <is>
          <t>O</t>
        </is>
      </c>
      <c r="U43" s="10" t="inlineStr">
        <is>
          <t>A Vehicles</t>
        </is>
      </c>
      <c r="V43" s="10" t="inlineStr">
        <is>
          <t>A Vehicles</t>
        </is>
      </c>
      <c r="W43" s="10" t="inlineStr">
        <is>
          <t>O</t>
        </is>
      </c>
      <c r="X43" s="10" t="inlineStr">
        <is>
          <t>M Vehicles</t>
        </is>
      </c>
      <c r="Y43" s="10" t="inlineStr">
        <is>
          <t>M Vehicles</t>
        </is>
      </c>
      <c r="Z43" s="10" t="inlineStr">
        <is>
          <t>N Vehicles</t>
        </is>
      </c>
      <c r="AA43" s="10" t="inlineStr">
        <is>
          <t>N Vehicles</t>
        </is>
      </c>
      <c r="AB43" s="10" t="inlineStr">
        <is>
          <t>O</t>
        </is>
      </c>
      <c r="AC43" s="10" t="inlineStr">
        <is>
          <t>A Vehicles</t>
        </is>
      </c>
      <c r="AD43" s="10" t="inlineStr">
        <is>
          <t>A Vehicles</t>
        </is>
      </c>
      <c r="AE43" s="10" t="inlineStr">
        <is>
          <t>O</t>
        </is>
      </c>
      <c r="AF43" s="10" t="inlineStr">
        <is>
          <t>M Vehicles</t>
        </is>
      </c>
    </row>
    <row r="44"/>
    <row r="45">
      <c r="A45" s="1" t="inlineStr">
        <is>
          <t>Zone Assignment Statistics</t>
        </is>
      </c>
    </row>
    <row r="46">
      <c r="A46" s="24" t="inlineStr">
        <is>
          <t>Zone</t>
        </is>
      </c>
      <c r="B46" s="3" t="inlineStr">
        <is>
          <t>Shift</t>
        </is>
      </c>
      <c r="C46" s="3" t="inlineStr">
        <is>
          <t>Day 1</t>
        </is>
      </c>
      <c r="D46" s="3" t="inlineStr">
        <is>
          <t>Day 2</t>
        </is>
      </c>
      <c r="E46" s="3" t="inlineStr">
        <is>
          <t>Day 3</t>
        </is>
      </c>
      <c r="F46" s="3" t="inlineStr">
        <is>
          <t>Day 4</t>
        </is>
      </c>
      <c r="G46" s="3" t="inlineStr">
        <is>
          <t>Day 5</t>
        </is>
      </c>
      <c r="H46" s="3" t="inlineStr">
        <is>
          <t>Day 6</t>
        </is>
      </c>
      <c r="I46" s="3" t="inlineStr">
        <is>
          <t>Day 7</t>
        </is>
      </c>
      <c r="J46" s="3" t="inlineStr">
        <is>
          <t>Day 8</t>
        </is>
      </c>
      <c r="K46" s="3" t="inlineStr">
        <is>
          <t>Day 9</t>
        </is>
      </c>
      <c r="L46" s="3" t="inlineStr">
        <is>
          <t>Day 10</t>
        </is>
      </c>
      <c r="M46" s="3" t="inlineStr">
        <is>
          <t>Day 11</t>
        </is>
      </c>
      <c r="N46" s="3" t="inlineStr">
        <is>
          <t>Day 12</t>
        </is>
      </c>
      <c r="O46" s="3" t="inlineStr">
        <is>
          <t>Day 13</t>
        </is>
      </c>
      <c r="P46" s="3" t="inlineStr">
        <is>
          <t>Day 14</t>
        </is>
      </c>
      <c r="Q46" s="3" t="inlineStr">
        <is>
          <t>Day 15</t>
        </is>
      </c>
      <c r="R46" s="3" t="inlineStr">
        <is>
          <t>Day 16</t>
        </is>
      </c>
      <c r="S46" s="3" t="inlineStr">
        <is>
          <t>Day 17</t>
        </is>
      </c>
      <c r="T46" s="3" t="inlineStr">
        <is>
          <t>Day 18</t>
        </is>
      </c>
      <c r="U46" s="3" t="inlineStr">
        <is>
          <t>Day 19</t>
        </is>
      </c>
      <c r="V46" s="3" t="inlineStr">
        <is>
          <t>Day 20</t>
        </is>
      </c>
      <c r="W46" s="3" t="inlineStr">
        <is>
          <t>Day 21</t>
        </is>
      </c>
      <c r="X46" s="3" t="inlineStr">
        <is>
          <t>Day 22</t>
        </is>
      </c>
      <c r="Y46" s="3" t="inlineStr">
        <is>
          <t>Day 23</t>
        </is>
      </c>
      <c r="Z46" s="3" t="inlineStr">
        <is>
          <t>Day 24</t>
        </is>
      </c>
      <c r="AA46" s="3" t="inlineStr">
        <is>
          <t>Day 25</t>
        </is>
      </c>
      <c r="AB46" s="3" t="inlineStr">
        <is>
          <t>Day 26</t>
        </is>
      </c>
      <c r="AC46" s="3" t="inlineStr">
        <is>
          <t>Day 27</t>
        </is>
      </c>
      <c r="AD46" s="3" t="inlineStr">
        <is>
          <t>Day 28</t>
        </is>
      </c>
      <c r="AE46" s="3" t="inlineStr">
        <is>
          <t>Day 29</t>
        </is>
      </c>
      <c r="AF46" s="3" t="inlineStr">
        <is>
          <t>Day 30</t>
        </is>
      </c>
      <c r="AG46" s="4" t="inlineStr">
        <is>
          <t>Day 31</t>
        </is>
      </c>
    </row>
    <row r="47">
      <c r="A47" s="5" t="inlineStr">
        <is>
          <t>Cargo</t>
        </is>
      </c>
      <c r="B47" s="6" t="inlineStr">
        <is>
          <t>M</t>
        </is>
      </c>
      <c r="C47" s="7">
        <f>IF(COUNTIF(C$3:C$21,$B47&amp;" "&amp;$A47)&gt;=Description!C3,"Passed", "Failed")</f>
        <v/>
      </c>
      <c r="D47" s="7">
        <f>IF(COUNTIF(D$3:D$21,$B47&amp;" "&amp;$A47)&gt;=Description!D3,"Passed", "Failed")</f>
        <v/>
      </c>
      <c r="E47" s="7">
        <f>IF(COUNTIF(E$3:E$21,$B47&amp;" "&amp;$A47)&gt;=Description!E3,"Passed", "Failed")</f>
        <v/>
      </c>
      <c r="F47" s="7">
        <f>IF(COUNTIF(F$3:F$21,$B47&amp;" "&amp;$A47)&gt;=Description!F3,"Passed", "Failed")</f>
        <v/>
      </c>
      <c r="G47" s="7">
        <f>IF(COUNTIF(G$3:G$21,$B47&amp;" "&amp;$A47)&gt;=Description!G3,"Passed", "Failed")</f>
        <v/>
      </c>
      <c r="H47" s="7">
        <f>IF(COUNTIF(H$3:H$21,$B47&amp;" "&amp;$A47)&gt;=Description!H3,"Passed", "Failed")</f>
        <v/>
      </c>
      <c r="I47" s="7">
        <f>IF(COUNTIF(I$3:I$21,$B47&amp;" "&amp;$A47)&gt;=Description!I3,"Passed", "Failed")</f>
        <v/>
      </c>
      <c r="J47" s="7">
        <f>IF(COUNTIF(J$3:J$21,$B47&amp;" "&amp;$A47)&gt;=Description!J3,"Passed", "Failed")</f>
        <v/>
      </c>
      <c r="K47" s="7">
        <f>IF(COUNTIF(K$3:K$21,$B47&amp;" "&amp;$A47)&gt;=Description!K3,"Passed", "Failed")</f>
        <v/>
      </c>
      <c r="L47" s="7">
        <f>IF(COUNTIF(L$3:L$21,$B47&amp;" "&amp;$A47)&gt;=Description!L3,"Passed", "Failed")</f>
        <v/>
      </c>
      <c r="M47" s="7">
        <f>IF(COUNTIF(M$3:M$21,$B47&amp;" "&amp;$A47)&gt;=Description!M3,"Passed", "Failed")</f>
        <v/>
      </c>
      <c r="N47" s="7">
        <f>IF(COUNTIF(N$3:N$21,$B47&amp;" "&amp;$A47)&gt;=Description!N3,"Passed", "Failed")</f>
        <v/>
      </c>
      <c r="O47" s="7">
        <f>IF(COUNTIF(O$3:O$21,$B47&amp;" "&amp;$A47)&gt;=Description!O3,"Passed", "Failed")</f>
        <v/>
      </c>
      <c r="P47" s="7">
        <f>IF(COUNTIF(P$3:P$21,$B47&amp;" "&amp;$A47)&gt;=Description!P3,"Passed", "Failed")</f>
        <v/>
      </c>
      <c r="Q47" s="7">
        <f>IF(COUNTIF(Q$3:Q$21,$B47&amp;" "&amp;$A47)&gt;=Description!Q3,"Passed", "Failed")</f>
        <v/>
      </c>
      <c r="R47" s="7">
        <f>IF(COUNTIF(R$3:R$21,$B47&amp;" "&amp;$A47)&gt;=Description!R3,"Passed", "Failed")</f>
        <v/>
      </c>
      <c r="S47" s="7">
        <f>IF(COUNTIF(S$3:S$21,$B47&amp;" "&amp;$A47)&gt;=Description!S3,"Passed", "Failed")</f>
        <v/>
      </c>
      <c r="T47" s="7">
        <f>IF(COUNTIF(T$3:T$21,$B47&amp;" "&amp;$A47)&gt;=Description!T3,"Passed", "Failed")</f>
        <v/>
      </c>
      <c r="U47" s="7">
        <f>IF(COUNTIF(U$3:U$21,$B47&amp;" "&amp;$A47)&gt;=Description!U3,"Passed", "Failed")</f>
        <v/>
      </c>
      <c r="V47" s="7">
        <f>IF(COUNTIF(V$3:V$21,$B47&amp;" "&amp;$A47)&gt;=Description!V3,"Passed", "Failed")</f>
        <v/>
      </c>
      <c r="W47" s="7">
        <f>IF(COUNTIF(W$3:W$21,$B47&amp;" "&amp;$A47)&gt;=Description!W3,"Passed", "Failed")</f>
        <v/>
      </c>
      <c r="X47" s="7">
        <f>IF(COUNTIF(X$3:X$21,$B47&amp;" "&amp;$A47)&gt;=Description!X3,"Passed", "Failed")</f>
        <v/>
      </c>
      <c r="Y47" s="7">
        <f>IF(COUNTIF(Y$3:Y$21,$B47&amp;" "&amp;$A47)&gt;=Description!Y3,"Passed", "Failed")</f>
        <v/>
      </c>
      <c r="Z47" s="7">
        <f>IF(COUNTIF(Z$3:Z$21,$B47&amp;" "&amp;$A47)&gt;=Description!Z3,"Passed", "Failed")</f>
        <v/>
      </c>
      <c r="AA47" s="7">
        <f>IF(COUNTIF(AA$3:AA$21,$B47&amp;" "&amp;$A47)&gt;=Description!AA3,"Passed", "Failed")</f>
        <v/>
      </c>
      <c r="AB47" s="7">
        <f>IF(COUNTIF(AB$3:AB$21,$B47&amp;" "&amp;$A47)&gt;=Description!AB3,"Passed", "Failed")</f>
        <v/>
      </c>
      <c r="AC47" s="7">
        <f>IF(COUNTIF(AC$3:AC$21,$B47&amp;" "&amp;$A47)&gt;=Description!AC3,"Passed", "Failed")</f>
        <v/>
      </c>
      <c r="AD47" s="7">
        <f>IF(COUNTIF(AD$3:AD$21,$B47&amp;" "&amp;$A47)&gt;=Description!AD3,"Passed", "Failed")</f>
        <v/>
      </c>
      <c r="AE47" s="7">
        <f>IF(COUNTIF(AE$3:AE$21,$B47&amp;" "&amp;$A47)&gt;=Description!AE3,"Passed", "Failed")</f>
        <v/>
      </c>
      <c r="AF47" s="7">
        <f>IF(COUNTIF(AF$3:AF$21,$B47&amp;" "&amp;$A47)&gt;=Description!AF3,"Passed", "Failed")</f>
        <v/>
      </c>
      <c r="AG47" s="7">
        <f>IF(COUNTIF(AG$3:AG$21,$B47&amp;" "&amp;$A47)&gt;=Description!AG3,"Passed", "Failed")</f>
        <v/>
      </c>
    </row>
    <row r="48">
      <c r="A48" s="5" t="inlineStr">
        <is>
          <t>Cargo</t>
        </is>
      </c>
      <c r="B48" s="6" t="inlineStr">
        <is>
          <t>A</t>
        </is>
      </c>
      <c r="C48" s="7">
        <f>IF(COUNTIF(C$3:C$21,$B48&amp;" "&amp;$A48)&gt;=Description!C4,"Passed", "Failed")</f>
        <v/>
      </c>
      <c r="D48" s="7">
        <f>IF(COUNTIF(D$3:D$21,$B48&amp;" "&amp;$A48)&gt;=Description!D4,"Passed", "Failed")</f>
        <v/>
      </c>
      <c r="E48" s="7">
        <f>IF(COUNTIF(E$3:E$21,$B48&amp;" "&amp;$A48)&gt;=Description!E4,"Passed", "Failed")</f>
        <v/>
      </c>
      <c r="F48" s="7">
        <f>IF(COUNTIF(F$3:F$21,$B48&amp;" "&amp;$A48)&gt;=Description!F4,"Passed", "Failed")</f>
        <v/>
      </c>
      <c r="G48" s="7">
        <f>IF(COUNTIF(G$3:G$21,$B48&amp;" "&amp;$A48)&gt;=Description!G4,"Passed", "Failed")</f>
        <v/>
      </c>
      <c r="H48" s="7">
        <f>IF(COUNTIF(H$3:H$21,$B48&amp;" "&amp;$A48)&gt;=Description!H4,"Passed", "Failed")</f>
        <v/>
      </c>
      <c r="I48" s="7">
        <f>IF(COUNTIF(I$3:I$21,$B48&amp;" "&amp;$A48)&gt;=Description!I4,"Passed", "Failed")</f>
        <v/>
      </c>
      <c r="J48" s="7">
        <f>IF(COUNTIF(J$3:J$21,$B48&amp;" "&amp;$A48)&gt;=Description!J4,"Passed", "Failed")</f>
        <v/>
      </c>
      <c r="K48" s="7">
        <f>IF(COUNTIF(K$3:K$21,$B48&amp;" "&amp;$A48)&gt;=Description!K4,"Passed", "Failed")</f>
        <v/>
      </c>
      <c r="L48" s="7">
        <f>IF(COUNTIF(L$3:L$21,$B48&amp;" "&amp;$A48)&gt;=Description!L4,"Passed", "Failed")</f>
        <v/>
      </c>
      <c r="M48" s="7">
        <f>IF(COUNTIF(M$3:M$21,$B48&amp;" "&amp;$A48)&gt;=Description!M4,"Passed", "Failed")</f>
        <v/>
      </c>
      <c r="N48" s="7">
        <f>IF(COUNTIF(N$3:N$21,$B48&amp;" "&amp;$A48)&gt;=Description!N4,"Passed", "Failed")</f>
        <v/>
      </c>
      <c r="O48" s="7">
        <f>IF(COUNTIF(O$3:O$21,$B48&amp;" "&amp;$A48)&gt;=Description!O4,"Passed", "Failed")</f>
        <v/>
      </c>
      <c r="P48" s="7">
        <f>IF(COUNTIF(P$3:P$21,$B48&amp;" "&amp;$A48)&gt;=Description!P4,"Passed", "Failed")</f>
        <v/>
      </c>
      <c r="Q48" s="7">
        <f>IF(COUNTIF(Q$3:Q$21,$B48&amp;" "&amp;$A48)&gt;=Description!Q4,"Passed", "Failed")</f>
        <v/>
      </c>
      <c r="R48" s="7">
        <f>IF(COUNTIF(R$3:R$21,$B48&amp;" "&amp;$A48)&gt;=Description!R4,"Passed", "Failed")</f>
        <v/>
      </c>
      <c r="S48" s="7">
        <f>IF(COUNTIF(S$3:S$21,$B48&amp;" "&amp;$A48)&gt;=Description!S4,"Passed", "Failed")</f>
        <v/>
      </c>
      <c r="T48" s="7">
        <f>IF(COUNTIF(T$3:T$21,$B48&amp;" "&amp;$A48)&gt;=Description!T4,"Passed", "Failed")</f>
        <v/>
      </c>
      <c r="U48" s="7">
        <f>IF(COUNTIF(U$3:U$21,$B48&amp;" "&amp;$A48)&gt;=Description!U4,"Passed", "Failed")</f>
        <v/>
      </c>
      <c r="V48" s="7">
        <f>IF(COUNTIF(V$3:V$21,$B48&amp;" "&amp;$A48)&gt;=Description!V4,"Passed", "Failed")</f>
        <v/>
      </c>
      <c r="W48" s="7">
        <f>IF(COUNTIF(W$3:W$21,$B48&amp;" "&amp;$A48)&gt;=Description!W4,"Passed", "Failed")</f>
        <v/>
      </c>
      <c r="X48" s="7">
        <f>IF(COUNTIF(X$3:X$21,$B48&amp;" "&amp;$A48)&gt;=Description!X4,"Passed", "Failed")</f>
        <v/>
      </c>
      <c r="Y48" s="7">
        <f>IF(COUNTIF(Y$3:Y$21,$B48&amp;" "&amp;$A48)&gt;=Description!Y4,"Passed", "Failed")</f>
        <v/>
      </c>
      <c r="Z48" s="7">
        <f>IF(COUNTIF(Z$3:Z$21,$B48&amp;" "&amp;$A48)&gt;=Description!Z4,"Passed", "Failed")</f>
        <v/>
      </c>
      <c r="AA48" s="7">
        <f>IF(COUNTIF(AA$3:AA$21,$B48&amp;" "&amp;$A48)&gt;=Description!AA4,"Passed", "Failed")</f>
        <v/>
      </c>
      <c r="AB48" s="7">
        <f>IF(COUNTIF(AB$3:AB$21,$B48&amp;" "&amp;$A48)&gt;=Description!AB4,"Passed", "Failed")</f>
        <v/>
      </c>
      <c r="AC48" s="7">
        <f>IF(COUNTIF(AC$3:AC$21,$B48&amp;" "&amp;$A48)&gt;=Description!AC4,"Passed", "Failed")</f>
        <v/>
      </c>
      <c r="AD48" s="7">
        <f>IF(COUNTIF(AD$3:AD$21,$B48&amp;" "&amp;$A48)&gt;=Description!AD4,"Passed", "Failed")</f>
        <v/>
      </c>
      <c r="AE48" s="7">
        <f>IF(COUNTIF(AE$3:AE$21,$B48&amp;" "&amp;$A48)&gt;=Description!AE4,"Passed", "Failed")</f>
        <v/>
      </c>
      <c r="AF48" s="7">
        <f>IF(COUNTIF(AF$3:AF$21,$B48&amp;" "&amp;$A48)&gt;=Description!AF4,"Passed", "Failed")</f>
        <v/>
      </c>
      <c r="AG48" s="7">
        <f>IF(COUNTIF(AG$3:AG$21,$B48&amp;" "&amp;$A48)&gt;=Description!AG4,"Passed", "Failed")</f>
        <v/>
      </c>
    </row>
    <row r="49">
      <c r="A49" s="5" t="inlineStr">
        <is>
          <t>Cargo</t>
        </is>
      </c>
      <c r="B49" s="10" t="inlineStr">
        <is>
          <t>N</t>
        </is>
      </c>
      <c r="C49" s="7">
        <f>IF(COUNTIF(C$3:C$21,$B49&amp;" "&amp;$A49)&gt;=Description!C5,"Passed", "Failed")</f>
        <v/>
      </c>
      <c r="D49" s="7">
        <f>IF(COUNTIF(D$3:D$21,$B49&amp;" "&amp;$A49)&gt;=Description!D5,"Passed", "Failed")</f>
        <v/>
      </c>
      <c r="E49" s="7">
        <f>IF(COUNTIF(E$3:E$21,$B49&amp;" "&amp;$A49)&gt;=Description!E5,"Passed", "Failed")</f>
        <v/>
      </c>
      <c r="F49" s="7">
        <f>IF(COUNTIF(F$3:F$21,$B49&amp;" "&amp;$A49)&gt;=Description!F5,"Passed", "Failed")</f>
        <v/>
      </c>
      <c r="G49" s="7">
        <f>IF(COUNTIF(G$3:G$21,$B49&amp;" "&amp;$A49)&gt;=Description!G5,"Passed", "Failed")</f>
        <v/>
      </c>
      <c r="H49" s="7">
        <f>IF(COUNTIF(H$3:H$21,$B49&amp;" "&amp;$A49)&gt;=Description!H5,"Passed", "Failed")</f>
        <v/>
      </c>
      <c r="I49" s="7">
        <f>IF(COUNTIF(I$3:I$21,$B49&amp;" "&amp;$A49)&gt;=Description!I5,"Passed", "Failed")</f>
        <v/>
      </c>
      <c r="J49" s="7">
        <f>IF(COUNTIF(J$3:J$21,$B49&amp;" "&amp;$A49)&gt;=Description!J5,"Passed", "Failed")</f>
        <v/>
      </c>
      <c r="K49" s="7">
        <f>IF(COUNTIF(K$3:K$21,$B49&amp;" "&amp;$A49)&gt;=Description!K5,"Passed", "Failed")</f>
        <v/>
      </c>
      <c r="L49" s="7">
        <f>IF(COUNTIF(L$3:L$21,$B49&amp;" "&amp;$A49)&gt;=Description!L5,"Passed", "Failed")</f>
        <v/>
      </c>
      <c r="M49" s="7">
        <f>IF(COUNTIF(M$3:M$21,$B49&amp;" "&amp;$A49)&gt;=Description!M5,"Passed", "Failed")</f>
        <v/>
      </c>
      <c r="N49" s="7">
        <f>IF(COUNTIF(N$3:N$21,$B49&amp;" "&amp;$A49)&gt;=Description!N5,"Passed", "Failed")</f>
        <v/>
      </c>
      <c r="O49" s="7">
        <f>IF(COUNTIF(O$3:O$21,$B49&amp;" "&amp;$A49)&gt;=Description!O5,"Passed", "Failed")</f>
        <v/>
      </c>
      <c r="P49" s="7">
        <f>IF(COUNTIF(P$3:P$21,$B49&amp;" "&amp;$A49)&gt;=Description!P5,"Passed", "Failed")</f>
        <v/>
      </c>
      <c r="Q49" s="7">
        <f>IF(COUNTIF(Q$3:Q$21,$B49&amp;" "&amp;$A49)&gt;=Description!Q5,"Passed", "Failed")</f>
        <v/>
      </c>
      <c r="R49" s="7">
        <f>IF(COUNTIF(R$3:R$21,$B49&amp;" "&amp;$A49)&gt;=Description!R5,"Passed", "Failed")</f>
        <v/>
      </c>
      <c r="S49" s="7">
        <f>IF(COUNTIF(S$3:S$21,$B49&amp;" "&amp;$A49)&gt;=Description!S5,"Passed", "Failed")</f>
        <v/>
      </c>
      <c r="T49" s="7">
        <f>IF(COUNTIF(T$3:T$21,$B49&amp;" "&amp;$A49)&gt;=Description!T5,"Passed", "Failed")</f>
        <v/>
      </c>
      <c r="U49" s="7">
        <f>IF(COUNTIF(U$3:U$21,$B49&amp;" "&amp;$A49)&gt;=Description!U5,"Passed", "Failed")</f>
        <v/>
      </c>
      <c r="V49" s="7">
        <f>IF(COUNTIF(V$3:V$21,$B49&amp;" "&amp;$A49)&gt;=Description!V5,"Passed", "Failed")</f>
        <v/>
      </c>
      <c r="W49" s="7">
        <f>IF(COUNTIF(W$3:W$21,$B49&amp;" "&amp;$A49)&gt;=Description!W5,"Passed", "Failed")</f>
        <v/>
      </c>
      <c r="X49" s="7">
        <f>IF(COUNTIF(X$3:X$21,$B49&amp;" "&amp;$A49)&gt;=Description!X5,"Passed", "Failed")</f>
        <v/>
      </c>
      <c r="Y49" s="7">
        <f>IF(COUNTIF(Y$3:Y$21,$B49&amp;" "&amp;$A49)&gt;=Description!Y5,"Passed", "Failed")</f>
        <v/>
      </c>
      <c r="Z49" s="7">
        <f>IF(COUNTIF(Z$3:Z$21,$B49&amp;" "&amp;$A49)&gt;=Description!Z5,"Passed", "Failed")</f>
        <v/>
      </c>
      <c r="AA49" s="7">
        <f>IF(COUNTIF(AA$3:AA$21,$B49&amp;" "&amp;$A49)&gt;=Description!AA5,"Passed", "Failed")</f>
        <v/>
      </c>
      <c r="AB49" s="7">
        <f>IF(COUNTIF(AB$3:AB$21,$B49&amp;" "&amp;$A49)&gt;=Description!AB5,"Passed", "Failed")</f>
        <v/>
      </c>
      <c r="AC49" s="7">
        <f>IF(COUNTIF(AC$3:AC$21,$B49&amp;" "&amp;$A49)&gt;=Description!AC5,"Passed", "Failed")</f>
        <v/>
      </c>
      <c r="AD49" s="7">
        <f>IF(COUNTIF(AD$3:AD$21,$B49&amp;" "&amp;$A49)&gt;=Description!AD5,"Passed", "Failed")</f>
        <v/>
      </c>
      <c r="AE49" s="7">
        <f>IF(COUNTIF(AE$3:AE$21,$B49&amp;" "&amp;$A49)&gt;=Description!AE5,"Passed", "Failed")</f>
        <v/>
      </c>
      <c r="AF49" s="7">
        <f>IF(COUNTIF(AF$3:AF$21,$B49&amp;" "&amp;$A49)&gt;=Description!AF5,"Passed", "Failed")</f>
        <v/>
      </c>
      <c r="AG49" s="7">
        <f>IF(COUNTIF(AG$3:AG$21,$B49&amp;" "&amp;$A49)&gt;=Description!AG5,"Passed", "Failed")</f>
        <v/>
      </c>
    </row>
    <row r="50">
      <c r="A50" s="12" t="inlineStr">
        <is>
          <t>Pax</t>
        </is>
      </c>
      <c r="B50" s="6" t="inlineStr">
        <is>
          <t>M</t>
        </is>
      </c>
      <c r="C50" s="7">
        <f>IF(COUNTIF(C$3:C$21,$B50&amp;" "&amp;$A50)&gt;=Description!C6,"Passed", "Failed")</f>
        <v/>
      </c>
      <c r="D50" s="7">
        <f>IF(COUNTIF(D$3:D$21,$B50&amp;" "&amp;$A50)&gt;=Description!D6,"Passed", "Failed")</f>
        <v/>
      </c>
      <c r="E50" s="7">
        <f>IF(COUNTIF(E$3:E$21,$B50&amp;" "&amp;$A50)&gt;=Description!E6,"Passed", "Failed")</f>
        <v/>
      </c>
      <c r="F50" s="7">
        <f>IF(COUNTIF(F$3:F$21,$B50&amp;" "&amp;$A50)&gt;=Description!F6,"Passed", "Failed")</f>
        <v/>
      </c>
      <c r="G50" s="7">
        <f>IF(COUNTIF(G$3:G$21,$B50&amp;" "&amp;$A50)&gt;=Description!G6,"Passed", "Failed")</f>
        <v/>
      </c>
      <c r="H50" s="7">
        <f>IF(COUNTIF(H$3:H$21,$B50&amp;" "&amp;$A50)&gt;=Description!H6,"Passed", "Failed")</f>
        <v/>
      </c>
      <c r="I50" s="7">
        <f>IF(COUNTIF(I$3:I$21,$B50&amp;" "&amp;$A50)&gt;=Description!I6,"Passed", "Failed")</f>
        <v/>
      </c>
      <c r="J50" s="7">
        <f>IF(COUNTIF(J$3:J$21,$B50&amp;" "&amp;$A50)&gt;=Description!J6,"Passed", "Failed")</f>
        <v/>
      </c>
      <c r="K50" s="7">
        <f>IF(COUNTIF(K$3:K$21,$B50&amp;" "&amp;$A50)&gt;=Description!K6,"Passed", "Failed")</f>
        <v/>
      </c>
      <c r="L50" s="7">
        <f>IF(COUNTIF(L$3:L$21,$B50&amp;" "&amp;$A50)&gt;=Description!L6,"Passed", "Failed")</f>
        <v/>
      </c>
      <c r="M50" s="7">
        <f>IF(COUNTIF(M$3:M$21,$B50&amp;" "&amp;$A50)&gt;=Description!M6,"Passed", "Failed")</f>
        <v/>
      </c>
      <c r="N50" s="7">
        <f>IF(COUNTIF(N$3:N$21,$B50&amp;" "&amp;$A50)&gt;=Description!N6,"Passed", "Failed")</f>
        <v/>
      </c>
      <c r="O50" s="7">
        <f>IF(COUNTIF(O$3:O$21,$B50&amp;" "&amp;$A50)&gt;=Description!O6,"Passed", "Failed")</f>
        <v/>
      </c>
      <c r="P50" s="7">
        <f>IF(COUNTIF(P$3:P$21,$B50&amp;" "&amp;$A50)&gt;=Description!P6,"Passed", "Failed")</f>
        <v/>
      </c>
      <c r="Q50" s="7">
        <f>IF(COUNTIF(Q$3:Q$21,$B50&amp;" "&amp;$A50)&gt;=Description!Q6,"Passed", "Failed")</f>
        <v/>
      </c>
      <c r="R50" s="7">
        <f>IF(COUNTIF(R$3:R$21,$B50&amp;" "&amp;$A50)&gt;=Description!R6,"Passed", "Failed")</f>
        <v/>
      </c>
      <c r="S50" s="7">
        <f>IF(COUNTIF(S$3:S$21,$B50&amp;" "&amp;$A50)&gt;=Description!S6,"Passed", "Failed")</f>
        <v/>
      </c>
      <c r="T50" s="7">
        <f>IF(COUNTIF(T$3:T$21,$B50&amp;" "&amp;$A50)&gt;=Description!T6,"Passed", "Failed")</f>
        <v/>
      </c>
      <c r="U50" s="7">
        <f>IF(COUNTIF(U$3:U$21,$B50&amp;" "&amp;$A50)&gt;=Description!U6,"Passed", "Failed")</f>
        <v/>
      </c>
      <c r="V50" s="7">
        <f>IF(COUNTIF(V$3:V$21,$B50&amp;" "&amp;$A50)&gt;=Description!V6,"Passed", "Failed")</f>
        <v/>
      </c>
      <c r="W50" s="7">
        <f>IF(COUNTIF(W$3:W$21,$B50&amp;" "&amp;$A50)&gt;=Description!W6,"Passed", "Failed")</f>
        <v/>
      </c>
      <c r="X50" s="7">
        <f>IF(COUNTIF(X$3:X$21,$B50&amp;" "&amp;$A50)&gt;=Description!X6,"Passed", "Failed")</f>
        <v/>
      </c>
      <c r="Y50" s="7">
        <f>IF(COUNTIF(Y$3:Y$21,$B50&amp;" "&amp;$A50)&gt;=Description!Y6,"Passed", "Failed")</f>
        <v/>
      </c>
      <c r="Z50" s="7">
        <f>IF(COUNTIF(Z$3:Z$21,$B50&amp;" "&amp;$A50)&gt;=Description!Z6,"Passed", "Failed")</f>
        <v/>
      </c>
      <c r="AA50" s="7">
        <f>IF(COUNTIF(AA$3:AA$21,$B50&amp;" "&amp;$A50)&gt;=Description!AA6,"Passed", "Failed")</f>
        <v/>
      </c>
      <c r="AB50" s="7">
        <f>IF(COUNTIF(AB$3:AB$21,$B50&amp;" "&amp;$A50)&gt;=Description!AB6,"Passed", "Failed")</f>
        <v/>
      </c>
      <c r="AC50" s="7">
        <f>IF(COUNTIF(AC$3:AC$21,$B50&amp;" "&amp;$A50)&gt;=Description!AC6,"Passed", "Failed")</f>
        <v/>
      </c>
      <c r="AD50" s="7">
        <f>IF(COUNTIF(AD$3:AD$21,$B50&amp;" "&amp;$A50)&gt;=Description!AD6,"Passed", "Failed")</f>
        <v/>
      </c>
      <c r="AE50" s="7">
        <f>IF(COUNTIF(AE$3:AE$21,$B50&amp;" "&amp;$A50)&gt;=Description!AE6,"Passed", "Failed")</f>
        <v/>
      </c>
      <c r="AF50" s="7">
        <f>IF(COUNTIF(AF$3:AF$21,$B50&amp;" "&amp;$A50)&gt;=Description!AF6,"Passed", "Failed")</f>
        <v/>
      </c>
      <c r="AG50" s="7">
        <f>IF(COUNTIF(AG$3:AG$21,$B50&amp;" "&amp;$A50)&gt;=Description!AG6,"Passed", "Failed")</f>
        <v/>
      </c>
    </row>
    <row r="51">
      <c r="A51" s="5" t="inlineStr">
        <is>
          <t>Pax</t>
        </is>
      </c>
      <c r="B51" s="6" t="inlineStr">
        <is>
          <t>A</t>
        </is>
      </c>
      <c r="C51" s="7">
        <f>IF(COUNTIF(C$3:C$21,$B51&amp;" "&amp;$A51)&gt;=Description!C7,"Passed", "Failed")</f>
        <v/>
      </c>
      <c r="D51" s="7">
        <f>IF(COUNTIF(D$3:D$21,$B51&amp;" "&amp;$A51)&gt;=Description!D7,"Passed", "Failed")</f>
        <v/>
      </c>
      <c r="E51" s="7">
        <f>IF(COUNTIF(E$3:E$21,$B51&amp;" "&amp;$A51)&gt;=Description!E7,"Passed", "Failed")</f>
        <v/>
      </c>
      <c r="F51" s="7">
        <f>IF(COUNTIF(F$3:F$21,$B51&amp;" "&amp;$A51)&gt;=Description!F7,"Passed", "Failed")</f>
        <v/>
      </c>
      <c r="G51" s="7">
        <f>IF(COUNTIF(G$3:G$21,$B51&amp;" "&amp;$A51)&gt;=Description!G7,"Passed", "Failed")</f>
        <v/>
      </c>
      <c r="H51" s="7">
        <f>IF(COUNTIF(H$3:H$21,$B51&amp;" "&amp;$A51)&gt;=Description!H7,"Passed", "Failed")</f>
        <v/>
      </c>
      <c r="I51" s="7">
        <f>IF(COUNTIF(I$3:I$21,$B51&amp;" "&amp;$A51)&gt;=Description!I7,"Passed", "Failed")</f>
        <v/>
      </c>
      <c r="J51" s="7">
        <f>IF(COUNTIF(J$3:J$21,$B51&amp;" "&amp;$A51)&gt;=Description!J7,"Passed", "Failed")</f>
        <v/>
      </c>
      <c r="K51" s="7">
        <f>IF(COUNTIF(K$3:K$21,$B51&amp;" "&amp;$A51)&gt;=Description!K7,"Passed", "Failed")</f>
        <v/>
      </c>
      <c r="L51" s="7">
        <f>IF(COUNTIF(L$3:L$21,$B51&amp;" "&amp;$A51)&gt;=Description!L7,"Passed", "Failed")</f>
        <v/>
      </c>
      <c r="M51" s="7">
        <f>IF(COUNTIF(M$3:M$21,$B51&amp;" "&amp;$A51)&gt;=Description!M7,"Passed", "Failed")</f>
        <v/>
      </c>
      <c r="N51" s="7">
        <f>IF(COUNTIF(N$3:N$21,$B51&amp;" "&amp;$A51)&gt;=Description!N7,"Passed", "Failed")</f>
        <v/>
      </c>
      <c r="O51" s="7">
        <f>IF(COUNTIF(O$3:O$21,$B51&amp;" "&amp;$A51)&gt;=Description!O7,"Passed", "Failed")</f>
        <v/>
      </c>
      <c r="P51" s="7">
        <f>IF(COUNTIF(P$3:P$21,$B51&amp;" "&amp;$A51)&gt;=Description!P7,"Passed", "Failed")</f>
        <v/>
      </c>
      <c r="Q51" s="7">
        <f>IF(COUNTIF(Q$3:Q$21,$B51&amp;" "&amp;$A51)&gt;=Description!Q7,"Passed", "Failed")</f>
        <v/>
      </c>
      <c r="R51" s="7">
        <f>IF(COUNTIF(R$3:R$21,$B51&amp;" "&amp;$A51)&gt;=Description!R7,"Passed", "Failed")</f>
        <v/>
      </c>
      <c r="S51" s="7">
        <f>IF(COUNTIF(S$3:S$21,$B51&amp;" "&amp;$A51)&gt;=Description!S7,"Passed", "Failed")</f>
        <v/>
      </c>
      <c r="T51" s="7">
        <f>IF(COUNTIF(T$3:T$21,$B51&amp;" "&amp;$A51)&gt;=Description!T7,"Passed", "Failed")</f>
        <v/>
      </c>
      <c r="U51" s="7">
        <f>IF(COUNTIF(U$3:U$21,$B51&amp;" "&amp;$A51)&gt;=Description!U7,"Passed", "Failed")</f>
        <v/>
      </c>
      <c r="V51" s="7">
        <f>IF(COUNTIF(V$3:V$21,$B51&amp;" "&amp;$A51)&gt;=Description!V7,"Passed", "Failed")</f>
        <v/>
      </c>
      <c r="W51" s="7">
        <f>IF(COUNTIF(W$3:W$21,$B51&amp;" "&amp;$A51)&gt;=Description!W7,"Passed", "Failed")</f>
        <v/>
      </c>
      <c r="X51" s="7">
        <f>IF(COUNTIF(X$3:X$21,$B51&amp;" "&amp;$A51)&gt;=Description!X7,"Passed", "Failed")</f>
        <v/>
      </c>
      <c r="Y51" s="7">
        <f>IF(COUNTIF(Y$3:Y$21,$B51&amp;" "&amp;$A51)&gt;=Description!Y7,"Passed", "Failed")</f>
        <v/>
      </c>
      <c r="Z51" s="7">
        <f>IF(COUNTIF(Z$3:Z$21,$B51&amp;" "&amp;$A51)&gt;=Description!Z7,"Passed", "Failed")</f>
        <v/>
      </c>
      <c r="AA51" s="7">
        <f>IF(COUNTIF(AA$3:AA$21,$B51&amp;" "&amp;$A51)&gt;=Description!AA7,"Passed", "Failed")</f>
        <v/>
      </c>
      <c r="AB51" s="7">
        <f>IF(COUNTIF(AB$3:AB$21,$B51&amp;" "&amp;$A51)&gt;=Description!AB7,"Passed", "Failed")</f>
        <v/>
      </c>
      <c r="AC51" s="7">
        <f>IF(COUNTIF(AC$3:AC$21,$B51&amp;" "&amp;$A51)&gt;=Description!AC7,"Passed", "Failed")</f>
        <v/>
      </c>
      <c r="AD51" s="7">
        <f>IF(COUNTIF(AD$3:AD$21,$B51&amp;" "&amp;$A51)&gt;=Description!AD7,"Passed", "Failed")</f>
        <v/>
      </c>
      <c r="AE51" s="7">
        <f>IF(COUNTIF(AE$3:AE$21,$B51&amp;" "&amp;$A51)&gt;=Description!AE7,"Passed", "Failed")</f>
        <v/>
      </c>
      <c r="AF51" s="7">
        <f>IF(COUNTIF(AF$3:AF$21,$B51&amp;" "&amp;$A51)&gt;=Description!AF7,"Passed", "Failed")</f>
        <v/>
      </c>
      <c r="AG51" s="7">
        <f>IF(COUNTIF(AG$3:AG$21,$B51&amp;" "&amp;$A51)&gt;=Description!AG7,"Passed", "Failed")</f>
        <v/>
      </c>
    </row>
    <row r="52">
      <c r="A52" s="13" t="inlineStr">
        <is>
          <t>Pax</t>
        </is>
      </c>
      <c r="B52" s="10" t="inlineStr">
        <is>
          <t>N</t>
        </is>
      </c>
      <c r="C52" s="7">
        <f>IF(COUNTIF(C$3:C$21,$B52&amp;" "&amp;$A52)&gt;=Description!C8,"Passed", "Failed")</f>
        <v/>
      </c>
      <c r="D52" s="7">
        <f>IF(COUNTIF(D$3:D$21,$B52&amp;" "&amp;$A52)&gt;=Description!D8,"Passed", "Failed")</f>
        <v/>
      </c>
      <c r="E52" s="7">
        <f>IF(COUNTIF(E$3:E$21,$B52&amp;" "&amp;$A52)&gt;=Description!E8,"Passed", "Failed")</f>
        <v/>
      </c>
      <c r="F52" s="7">
        <f>IF(COUNTIF(F$3:F$21,$B52&amp;" "&amp;$A52)&gt;=Description!F8,"Passed", "Failed")</f>
        <v/>
      </c>
      <c r="G52" s="7">
        <f>IF(COUNTIF(G$3:G$21,$B52&amp;" "&amp;$A52)&gt;=Description!G8,"Passed", "Failed")</f>
        <v/>
      </c>
      <c r="H52" s="7">
        <f>IF(COUNTIF(H$3:H$21,$B52&amp;" "&amp;$A52)&gt;=Description!H8,"Passed", "Failed")</f>
        <v/>
      </c>
      <c r="I52" s="7">
        <f>IF(COUNTIF(I$3:I$21,$B52&amp;" "&amp;$A52)&gt;=Description!I8,"Passed", "Failed")</f>
        <v/>
      </c>
      <c r="J52" s="7">
        <f>IF(COUNTIF(J$3:J$21,$B52&amp;" "&amp;$A52)&gt;=Description!J8,"Passed", "Failed")</f>
        <v/>
      </c>
      <c r="K52" s="7">
        <f>IF(COUNTIF(K$3:K$21,$B52&amp;" "&amp;$A52)&gt;=Description!K8,"Passed", "Failed")</f>
        <v/>
      </c>
      <c r="L52" s="7">
        <f>IF(COUNTIF(L$3:L$21,$B52&amp;" "&amp;$A52)&gt;=Description!L8,"Passed", "Failed")</f>
        <v/>
      </c>
      <c r="M52" s="7">
        <f>IF(COUNTIF(M$3:M$21,$B52&amp;" "&amp;$A52)&gt;=Description!M8,"Passed", "Failed")</f>
        <v/>
      </c>
      <c r="N52" s="7">
        <f>IF(COUNTIF(N$3:N$21,$B52&amp;" "&amp;$A52)&gt;=Description!N8,"Passed", "Failed")</f>
        <v/>
      </c>
      <c r="O52" s="7">
        <f>IF(COUNTIF(O$3:O$21,$B52&amp;" "&amp;$A52)&gt;=Description!O8,"Passed", "Failed")</f>
        <v/>
      </c>
      <c r="P52" s="7">
        <f>IF(COUNTIF(P$3:P$21,$B52&amp;" "&amp;$A52)&gt;=Description!P8,"Passed", "Failed")</f>
        <v/>
      </c>
      <c r="Q52" s="7">
        <f>IF(COUNTIF(Q$3:Q$21,$B52&amp;" "&amp;$A52)&gt;=Description!Q8,"Passed", "Failed")</f>
        <v/>
      </c>
      <c r="R52" s="7">
        <f>IF(COUNTIF(R$3:R$21,$B52&amp;" "&amp;$A52)&gt;=Description!R8,"Passed", "Failed")</f>
        <v/>
      </c>
      <c r="S52" s="7">
        <f>IF(COUNTIF(S$3:S$21,$B52&amp;" "&amp;$A52)&gt;=Description!S8,"Passed", "Failed")</f>
        <v/>
      </c>
      <c r="T52" s="7">
        <f>IF(COUNTIF(T$3:T$21,$B52&amp;" "&amp;$A52)&gt;=Description!T8,"Passed", "Failed")</f>
        <v/>
      </c>
      <c r="U52" s="7">
        <f>IF(COUNTIF(U$3:U$21,$B52&amp;" "&amp;$A52)&gt;=Description!U8,"Passed", "Failed")</f>
        <v/>
      </c>
      <c r="V52" s="7">
        <f>IF(COUNTIF(V$3:V$21,$B52&amp;" "&amp;$A52)&gt;=Description!V8,"Passed", "Failed")</f>
        <v/>
      </c>
      <c r="W52" s="7">
        <f>IF(COUNTIF(W$3:W$21,$B52&amp;" "&amp;$A52)&gt;=Description!W8,"Passed", "Failed")</f>
        <v/>
      </c>
      <c r="X52" s="7">
        <f>IF(COUNTIF(X$3:X$21,$B52&amp;" "&amp;$A52)&gt;=Description!X8,"Passed", "Failed")</f>
        <v/>
      </c>
      <c r="Y52" s="7">
        <f>IF(COUNTIF(Y$3:Y$21,$B52&amp;" "&amp;$A52)&gt;=Description!Y8,"Passed", "Failed")</f>
        <v/>
      </c>
      <c r="Z52" s="7">
        <f>IF(COUNTIF(Z$3:Z$21,$B52&amp;" "&amp;$A52)&gt;=Description!Z8,"Passed", "Failed")</f>
        <v/>
      </c>
      <c r="AA52" s="7">
        <f>IF(COUNTIF(AA$3:AA$21,$B52&amp;" "&amp;$A52)&gt;=Description!AA8,"Passed", "Failed")</f>
        <v/>
      </c>
      <c r="AB52" s="7">
        <f>IF(COUNTIF(AB$3:AB$21,$B52&amp;" "&amp;$A52)&gt;=Description!AB8,"Passed", "Failed")</f>
        <v/>
      </c>
      <c r="AC52" s="7">
        <f>IF(COUNTIF(AC$3:AC$21,$B52&amp;" "&amp;$A52)&gt;=Description!AC8,"Passed", "Failed")</f>
        <v/>
      </c>
      <c r="AD52" s="7">
        <f>IF(COUNTIF(AD$3:AD$21,$B52&amp;" "&amp;$A52)&gt;=Description!AD8,"Passed", "Failed")</f>
        <v/>
      </c>
      <c r="AE52" s="7">
        <f>IF(COUNTIF(AE$3:AE$21,$B52&amp;" "&amp;$A52)&gt;=Description!AE8,"Passed", "Failed")</f>
        <v/>
      </c>
      <c r="AF52" s="7">
        <f>IF(COUNTIF(AF$3:AF$21,$B52&amp;" "&amp;$A52)&gt;=Description!AF8,"Passed", "Failed")</f>
        <v/>
      </c>
      <c r="AG52" s="7">
        <f>IF(COUNTIF(AG$3:AG$21,$B52&amp;" "&amp;$A52)&gt;=Description!AG8,"Passed", "Failed")</f>
        <v/>
      </c>
    </row>
    <row r="53">
      <c r="A53" s="12" t="inlineStr">
        <is>
          <t>Vehicles</t>
        </is>
      </c>
      <c r="B53" s="6" t="inlineStr">
        <is>
          <t>M</t>
        </is>
      </c>
      <c r="C53" s="7">
        <f>IF(COUNTIF(C$3:C$21,$B53&amp;" "&amp;$A53)&gt;=Description!C9,"Passed", "Failed")</f>
        <v/>
      </c>
      <c r="D53" s="7">
        <f>IF(COUNTIF(D$3:D$21,$B53&amp;" "&amp;$A53)&gt;=Description!D9,"Passed", "Failed")</f>
        <v/>
      </c>
      <c r="E53" s="7">
        <f>IF(COUNTIF(E$3:E$21,$B53&amp;" "&amp;$A53)&gt;=Description!E9,"Passed", "Failed")</f>
        <v/>
      </c>
      <c r="F53" s="7">
        <f>IF(COUNTIF(F$3:F$21,$B53&amp;" "&amp;$A53)&gt;=Description!F9,"Passed", "Failed")</f>
        <v/>
      </c>
      <c r="G53" s="7">
        <f>IF(COUNTIF(G$3:G$21,$B53&amp;" "&amp;$A53)&gt;=Description!G9,"Passed", "Failed")</f>
        <v/>
      </c>
      <c r="H53" s="7">
        <f>IF(COUNTIF(H$3:H$21,$B53&amp;" "&amp;$A53)&gt;=Description!H9,"Passed", "Failed")</f>
        <v/>
      </c>
      <c r="I53" s="7">
        <f>IF(COUNTIF(I$3:I$21,$B53&amp;" "&amp;$A53)&gt;=Description!I9,"Passed", "Failed")</f>
        <v/>
      </c>
      <c r="J53" s="7">
        <f>IF(COUNTIF(J$3:J$21,$B53&amp;" "&amp;$A53)&gt;=Description!J9,"Passed", "Failed")</f>
        <v/>
      </c>
      <c r="K53" s="7">
        <f>IF(COUNTIF(K$3:K$21,$B53&amp;" "&amp;$A53)&gt;=Description!K9,"Passed", "Failed")</f>
        <v/>
      </c>
      <c r="L53" s="7">
        <f>IF(COUNTIF(L$3:L$21,$B53&amp;" "&amp;$A53)&gt;=Description!L9,"Passed", "Failed")</f>
        <v/>
      </c>
      <c r="M53" s="7">
        <f>IF(COUNTIF(M$3:M$21,$B53&amp;" "&amp;$A53)&gt;=Description!M9,"Passed", "Failed")</f>
        <v/>
      </c>
      <c r="N53" s="7">
        <f>IF(COUNTIF(N$3:N$21,$B53&amp;" "&amp;$A53)&gt;=Description!N9,"Passed", "Failed")</f>
        <v/>
      </c>
      <c r="O53" s="7">
        <f>IF(COUNTIF(O$3:O$21,$B53&amp;" "&amp;$A53)&gt;=Description!O9,"Passed", "Failed")</f>
        <v/>
      </c>
      <c r="P53" s="7">
        <f>IF(COUNTIF(P$3:P$21,$B53&amp;" "&amp;$A53)&gt;=Description!P9,"Passed", "Failed")</f>
        <v/>
      </c>
      <c r="Q53" s="7">
        <f>IF(COUNTIF(Q$3:Q$21,$B53&amp;" "&amp;$A53)&gt;=Description!Q9,"Passed", "Failed")</f>
        <v/>
      </c>
      <c r="R53" s="7">
        <f>IF(COUNTIF(R$3:R$21,$B53&amp;" "&amp;$A53)&gt;=Description!R9,"Passed", "Failed")</f>
        <v/>
      </c>
      <c r="S53" s="7">
        <f>IF(COUNTIF(S$3:S$21,$B53&amp;" "&amp;$A53)&gt;=Description!S9,"Passed", "Failed")</f>
        <v/>
      </c>
      <c r="T53" s="7">
        <f>IF(COUNTIF(T$3:T$21,$B53&amp;" "&amp;$A53)&gt;=Description!T9,"Passed", "Failed")</f>
        <v/>
      </c>
      <c r="U53" s="7">
        <f>IF(COUNTIF(U$3:U$21,$B53&amp;" "&amp;$A53)&gt;=Description!U9,"Passed", "Failed")</f>
        <v/>
      </c>
      <c r="V53" s="7">
        <f>IF(COUNTIF(V$3:V$21,$B53&amp;" "&amp;$A53)&gt;=Description!V9,"Passed", "Failed")</f>
        <v/>
      </c>
      <c r="W53" s="7">
        <f>IF(COUNTIF(W$3:W$21,$B53&amp;" "&amp;$A53)&gt;=Description!W9,"Passed", "Failed")</f>
        <v/>
      </c>
      <c r="X53" s="7">
        <f>IF(COUNTIF(X$3:X$21,$B53&amp;" "&amp;$A53)&gt;=Description!X9,"Passed", "Failed")</f>
        <v/>
      </c>
      <c r="Y53" s="7">
        <f>IF(COUNTIF(Y$3:Y$21,$B53&amp;" "&amp;$A53)&gt;=Description!Y9,"Passed", "Failed")</f>
        <v/>
      </c>
      <c r="Z53" s="7">
        <f>IF(COUNTIF(Z$3:Z$21,$B53&amp;" "&amp;$A53)&gt;=Description!Z9,"Passed", "Failed")</f>
        <v/>
      </c>
      <c r="AA53" s="7">
        <f>IF(COUNTIF(AA$3:AA$21,$B53&amp;" "&amp;$A53)&gt;=Description!AA9,"Passed", "Failed")</f>
        <v/>
      </c>
      <c r="AB53" s="7">
        <f>IF(COUNTIF(AB$3:AB$21,$B53&amp;" "&amp;$A53)&gt;=Description!AB9,"Passed", "Failed")</f>
        <v/>
      </c>
      <c r="AC53" s="7">
        <f>IF(COUNTIF(AC$3:AC$21,$B53&amp;" "&amp;$A53)&gt;=Description!AC9,"Passed", "Failed")</f>
        <v/>
      </c>
      <c r="AD53" s="7">
        <f>IF(COUNTIF(AD$3:AD$21,$B53&amp;" "&amp;$A53)&gt;=Description!AD9,"Passed", "Failed")</f>
        <v/>
      </c>
      <c r="AE53" s="7">
        <f>IF(COUNTIF(AE$3:AE$21,$B53&amp;" "&amp;$A53)&gt;=Description!AE9,"Passed", "Failed")</f>
        <v/>
      </c>
      <c r="AF53" s="7">
        <f>IF(COUNTIF(AF$3:AF$21,$B53&amp;" "&amp;$A53)&gt;=Description!AF9,"Passed", "Failed")</f>
        <v/>
      </c>
      <c r="AG53" s="7">
        <f>IF(COUNTIF(AG$3:AG$21,$B53&amp;" "&amp;$A53)&gt;=Description!AG9,"Passed", "Failed")</f>
        <v/>
      </c>
    </row>
    <row r="54">
      <c r="A54" s="14" t="inlineStr">
        <is>
          <t>Vehicles</t>
        </is>
      </c>
      <c r="B54" s="6" t="inlineStr">
        <is>
          <t>A</t>
        </is>
      </c>
      <c r="C54" s="7">
        <f>IF(COUNTIF(C$3:C$21,$B54&amp;" "&amp;$A54)&gt;=Description!C10,"Passed", "Failed")</f>
        <v/>
      </c>
      <c r="D54" s="7">
        <f>IF(COUNTIF(D$3:D$21,$B54&amp;" "&amp;$A54)&gt;=Description!D10,"Passed", "Failed")</f>
        <v/>
      </c>
      <c r="E54" s="7">
        <f>IF(COUNTIF(E$3:E$21,$B54&amp;" "&amp;$A54)&gt;=Description!E10,"Passed", "Failed")</f>
        <v/>
      </c>
      <c r="F54" s="7">
        <f>IF(COUNTIF(F$3:F$21,$B54&amp;" "&amp;$A54)&gt;=Description!F10,"Passed", "Failed")</f>
        <v/>
      </c>
      <c r="G54" s="7">
        <f>IF(COUNTIF(G$3:G$21,$B54&amp;" "&amp;$A54)&gt;=Description!G10,"Passed", "Failed")</f>
        <v/>
      </c>
      <c r="H54" s="7">
        <f>IF(COUNTIF(H$3:H$21,$B54&amp;" "&amp;$A54)&gt;=Description!H10,"Passed", "Failed")</f>
        <v/>
      </c>
      <c r="I54" s="7">
        <f>IF(COUNTIF(I$3:I$21,$B54&amp;" "&amp;$A54)&gt;=Description!I10,"Passed", "Failed")</f>
        <v/>
      </c>
      <c r="J54" s="7">
        <f>IF(COUNTIF(J$3:J$21,$B54&amp;" "&amp;$A54)&gt;=Description!J10,"Passed", "Failed")</f>
        <v/>
      </c>
      <c r="K54" s="7">
        <f>IF(COUNTIF(K$3:K$21,$B54&amp;" "&amp;$A54)&gt;=Description!K10,"Passed", "Failed")</f>
        <v/>
      </c>
      <c r="L54" s="7">
        <f>IF(COUNTIF(L$3:L$21,$B54&amp;" "&amp;$A54)&gt;=Description!L10,"Passed", "Failed")</f>
        <v/>
      </c>
      <c r="M54" s="7">
        <f>IF(COUNTIF(M$3:M$21,$B54&amp;" "&amp;$A54)&gt;=Description!M10,"Passed", "Failed")</f>
        <v/>
      </c>
      <c r="N54" s="7">
        <f>IF(COUNTIF(N$3:N$21,$B54&amp;" "&amp;$A54)&gt;=Description!N10,"Passed", "Failed")</f>
        <v/>
      </c>
      <c r="O54" s="7">
        <f>IF(COUNTIF(O$3:O$21,$B54&amp;" "&amp;$A54)&gt;=Description!O10,"Passed", "Failed")</f>
        <v/>
      </c>
      <c r="P54" s="7">
        <f>IF(COUNTIF(P$3:P$21,$B54&amp;" "&amp;$A54)&gt;=Description!P10,"Passed", "Failed")</f>
        <v/>
      </c>
      <c r="Q54" s="7">
        <f>IF(COUNTIF(Q$3:Q$21,$B54&amp;" "&amp;$A54)&gt;=Description!Q10,"Passed", "Failed")</f>
        <v/>
      </c>
      <c r="R54" s="7">
        <f>IF(COUNTIF(R$3:R$21,$B54&amp;" "&amp;$A54)&gt;=Description!R10,"Passed", "Failed")</f>
        <v/>
      </c>
      <c r="S54" s="7">
        <f>IF(COUNTIF(S$3:S$21,$B54&amp;" "&amp;$A54)&gt;=Description!S10,"Passed", "Failed")</f>
        <v/>
      </c>
      <c r="T54" s="7">
        <f>IF(COUNTIF(T$3:T$21,$B54&amp;" "&amp;$A54)&gt;=Description!T10,"Passed", "Failed")</f>
        <v/>
      </c>
      <c r="U54" s="7">
        <f>IF(COUNTIF(U$3:U$21,$B54&amp;" "&amp;$A54)&gt;=Description!U10,"Passed", "Failed")</f>
        <v/>
      </c>
      <c r="V54" s="7">
        <f>IF(COUNTIF(V$3:V$21,$B54&amp;" "&amp;$A54)&gt;=Description!V10,"Passed", "Failed")</f>
        <v/>
      </c>
      <c r="W54" s="7">
        <f>IF(COUNTIF(W$3:W$21,$B54&amp;" "&amp;$A54)&gt;=Description!W10,"Passed", "Failed")</f>
        <v/>
      </c>
      <c r="X54" s="7">
        <f>IF(COUNTIF(X$3:X$21,$B54&amp;" "&amp;$A54)&gt;=Description!X10,"Passed", "Failed")</f>
        <v/>
      </c>
      <c r="Y54" s="7">
        <f>IF(COUNTIF(Y$3:Y$21,$B54&amp;" "&amp;$A54)&gt;=Description!Y10,"Passed", "Failed")</f>
        <v/>
      </c>
      <c r="Z54" s="7">
        <f>IF(COUNTIF(Z$3:Z$21,$B54&amp;" "&amp;$A54)&gt;=Description!Z10,"Passed", "Failed")</f>
        <v/>
      </c>
      <c r="AA54" s="7">
        <f>IF(COUNTIF(AA$3:AA$21,$B54&amp;" "&amp;$A54)&gt;=Description!AA10,"Passed", "Failed")</f>
        <v/>
      </c>
      <c r="AB54" s="7">
        <f>IF(COUNTIF(AB$3:AB$21,$B54&amp;" "&amp;$A54)&gt;=Description!AB10,"Passed", "Failed")</f>
        <v/>
      </c>
      <c r="AC54" s="7">
        <f>IF(COUNTIF(AC$3:AC$21,$B54&amp;" "&amp;$A54)&gt;=Description!AC10,"Passed", "Failed")</f>
        <v/>
      </c>
      <c r="AD54" s="7">
        <f>IF(COUNTIF(AD$3:AD$21,$B54&amp;" "&amp;$A54)&gt;=Description!AD10,"Passed", "Failed")</f>
        <v/>
      </c>
      <c r="AE54" s="7">
        <f>IF(COUNTIF(AE$3:AE$21,$B54&amp;" "&amp;$A54)&gt;=Description!AE10,"Passed", "Failed")</f>
        <v/>
      </c>
      <c r="AF54" s="7">
        <f>IF(COUNTIF(AF$3:AF$21,$B54&amp;" "&amp;$A54)&gt;=Description!AF10,"Passed", "Failed")</f>
        <v/>
      </c>
      <c r="AG54" s="7">
        <f>IF(COUNTIF(AG$3:AG$21,$B54&amp;" "&amp;$A54)&gt;=Description!AG10,"Passed", "Failed")</f>
        <v/>
      </c>
    </row>
    <row r="55">
      <c r="A55" s="14" t="inlineStr">
        <is>
          <t>Vehicles</t>
        </is>
      </c>
      <c r="B55" s="10" t="inlineStr">
        <is>
          <t>N</t>
        </is>
      </c>
      <c r="C55" s="7">
        <f>IF(COUNTIF(C$3:C$21,$B55&amp;" "&amp;$A55)&gt;=Description!C11,"Passed", "Failed")</f>
        <v/>
      </c>
      <c r="D55" s="7">
        <f>IF(COUNTIF(D$3:D$21,$B55&amp;" "&amp;$A55)&gt;=Description!D11,"Passed", "Failed")</f>
        <v/>
      </c>
      <c r="E55" s="7">
        <f>IF(COUNTIF(E$3:E$21,$B55&amp;" "&amp;$A55)&gt;=Description!E11,"Passed", "Failed")</f>
        <v/>
      </c>
      <c r="F55" s="7">
        <f>IF(COUNTIF(F$3:F$21,$B55&amp;" "&amp;$A55)&gt;=Description!F11,"Passed", "Failed")</f>
        <v/>
      </c>
      <c r="G55" s="7">
        <f>IF(COUNTIF(G$3:G$21,$B55&amp;" "&amp;$A55)&gt;=Description!G11,"Passed", "Failed")</f>
        <v/>
      </c>
      <c r="H55" s="7">
        <f>IF(COUNTIF(H$3:H$21,$B55&amp;" "&amp;$A55)&gt;=Description!H11,"Passed", "Failed")</f>
        <v/>
      </c>
      <c r="I55" s="7">
        <f>IF(COUNTIF(I$3:I$21,$B55&amp;" "&amp;$A55)&gt;=Description!I11,"Passed", "Failed")</f>
        <v/>
      </c>
      <c r="J55" s="7">
        <f>IF(COUNTIF(J$3:J$21,$B55&amp;" "&amp;$A55)&gt;=Description!J11,"Passed", "Failed")</f>
        <v/>
      </c>
      <c r="K55" s="7">
        <f>IF(COUNTIF(K$3:K$21,$B55&amp;" "&amp;$A55)&gt;=Description!K11,"Passed", "Failed")</f>
        <v/>
      </c>
      <c r="L55" s="7">
        <f>IF(COUNTIF(L$3:L$21,$B55&amp;" "&amp;$A55)&gt;=Description!L11,"Passed", "Failed")</f>
        <v/>
      </c>
      <c r="M55" s="7">
        <f>IF(COUNTIF(M$3:M$21,$B55&amp;" "&amp;$A55)&gt;=Description!M11,"Passed", "Failed")</f>
        <v/>
      </c>
      <c r="N55" s="7">
        <f>IF(COUNTIF(N$3:N$21,$B55&amp;" "&amp;$A55)&gt;=Description!N11,"Passed", "Failed")</f>
        <v/>
      </c>
      <c r="O55" s="7">
        <f>IF(COUNTIF(O$3:O$21,$B55&amp;" "&amp;$A55)&gt;=Description!O11,"Passed", "Failed")</f>
        <v/>
      </c>
      <c r="P55" s="7">
        <f>IF(COUNTIF(P$3:P$21,$B55&amp;" "&amp;$A55)&gt;=Description!P11,"Passed", "Failed")</f>
        <v/>
      </c>
      <c r="Q55" s="7">
        <f>IF(COUNTIF(Q$3:Q$21,$B55&amp;" "&amp;$A55)&gt;=Description!Q11,"Passed", "Failed")</f>
        <v/>
      </c>
      <c r="R55" s="7">
        <f>IF(COUNTIF(R$3:R$21,$B55&amp;" "&amp;$A55)&gt;=Description!R11,"Passed", "Failed")</f>
        <v/>
      </c>
      <c r="S55" s="7">
        <f>IF(COUNTIF(S$3:S$21,$B55&amp;" "&amp;$A55)&gt;=Description!S11,"Passed", "Failed")</f>
        <v/>
      </c>
      <c r="T55" s="7">
        <f>IF(COUNTIF(T$3:T$21,$B55&amp;" "&amp;$A55)&gt;=Description!T11,"Passed", "Failed")</f>
        <v/>
      </c>
      <c r="U55" s="7">
        <f>IF(COUNTIF(U$3:U$21,$B55&amp;" "&amp;$A55)&gt;=Description!U11,"Passed", "Failed")</f>
        <v/>
      </c>
      <c r="V55" s="7">
        <f>IF(COUNTIF(V$3:V$21,$B55&amp;" "&amp;$A55)&gt;=Description!V11,"Passed", "Failed")</f>
        <v/>
      </c>
      <c r="W55" s="7">
        <f>IF(COUNTIF(W$3:W$21,$B55&amp;" "&amp;$A55)&gt;=Description!W11,"Passed", "Failed")</f>
        <v/>
      </c>
      <c r="X55" s="7">
        <f>IF(COUNTIF(X$3:X$21,$B55&amp;" "&amp;$A55)&gt;=Description!X11,"Passed", "Failed")</f>
        <v/>
      </c>
      <c r="Y55" s="7">
        <f>IF(COUNTIF(Y$3:Y$21,$B55&amp;" "&amp;$A55)&gt;=Description!Y11,"Passed", "Failed")</f>
        <v/>
      </c>
      <c r="Z55" s="7">
        <f>IF(COUNTIF(Z$3:Z$21,$B55&amp;" "&amp;$A55)&gt;=Description!Z11,"Passed", "Failed")</f>
        <v/>
      </c>
      <c r="AA55" s="7">
        <f>IF(COUNTIF(AA$3:AA$21,$B55&amp;" "&amp;$A55)&gt;=Description!AA11,"Passed", "Failed")</f>
        <v/>
      </c>
      <c r="AB55" s="7">
        <f>IF(COUNTIF(AB$3:AB$21,$B55&amp;" "&amp;$A55)&gt;=Description!AB11,"Passed", "Failed")</f>
        <v/>
      </c>
      <c r="AC55" s="7">
        <f>IF(COUNTIF(AC$3:AC$21,$B55&amp;" "&amp;$A55)&gt;=Description!AC11,"Passed", "Failed")</f>
        <v/>
      </c>
      <c r="AD55" s="7">
        <f>IF(COUNTIF(AD$3:AD$21,$B55&amp;" "&amp;$A55)&gt;=Description!AD11,"Passed", "Failed")</f>
        <v/>
      </c>
      <c r="AE55" s="7">
        <f>IF(COUNTIF(AE$3:AE$21,$B55&amp;" "&amp;$A55)&gt;=Description!AE11,"Passed", "Failed")</f>
        <v/>
      </c>
      <c r="AF55" s="7">
        <f>IF(COUNTIF(AF$3:AF$21,$B55&amp;" "&amp;$A55)&gt;=Description!AF11,"Passed", "Failed")</f>
        <v/>
      </c>
      <c r="AG55" s="7">
        <f>IF(COUNTIF(AG$3:AG$21,$B55&amp;" "&amp;$A55)&gt;=Description!AG11,"Passed", "Failed")</f>
        <v/>
      </c>
    </row>
    <row r="56">
      <c r="A56" s="12" t="inlineStr">
        <is>
          <t>Train</t>
        </is>
      </c>
      <c r="B56" s="6" t="inlineStr">
        <is>
          <t>M</t>
        </is>
      </c>
      <c r="C56" s="7">
        <f>IF(COUNTIF(C$3:C$21,$B56&amp;" "&amp;$A56)&gt;=Description!C12,"Passed", "Failed")</f>
        <v/>
      </c>
      <c r="D56" s="7">
        <f>IF(COUNTIF(D$3:D$21,$B56&amp;" "&amp;$A56)&gt;=Description!D12,"Passed", "Failed")</f>
        <v/>
      </c>
      <c r="E56" s="7">
        <f>IF(COUNTIF(E$3:E$21,$B56&amp;" "&amp;$A56)&gt;=Description!E12,"Passed", "Failed")</f>
        <v/>
      </c>
      <c r="F56" s="7">
        <f>IF(COUNTIF(F$3:F$21,$B56&amp;" "&amp;$A56)&gt;=Description!F12,"Passed", "Failed")</f>
        <v/>
      </c>
      <c r="G56" s="7">
        <f>IF(COUNTIF(G$3:G$21,$B56&amp;" "&amp;$A56)&gt;=Description!G12,"Passed", "Failed")</f>
        <v/>
      </c>
      <c r="H56" s="7">
        <f>IF(COUNTIF(H$3:H$21,$B56&amp;" "&amp;$A56)&gt;=Description!H12,"Passed", "Failed")</f>
        <v/>
      </c>
      <c r="I56" s="7">
        <f>IF(COUNTIF(I$3:I$21,$B56&amp;" "&amp;$A56)&gt;=Description!I12,"Passed", "Failed")</f>
        <v/>
      </c>
      <c r="J56" s="7">
        <f>IF(COUNTIF(J$3:J$21,$B56&amp;" "&amp;$A56)&gt;=Description!J12,"Passed", "Failed")</f>
        <v/>
      </c>
      <c r="K56" s="7">
        <f>IF(COUNTIF(K$3:K$21,$B56&amp;" "&amp;$A56)&gt;=Description!K12,"Passed", "Failed")</f>
        <v/>
      </c>
      <c r="L56" s="7">
        <f>IF(COUNTIF(L$3:L$21,$B56&amp;" "&amp;$A56)&gt;=Description!L12,"Passed", "Failed")</f>
        <v/>
      </c>
      <c r="M56" s="7">
        <f>IF(COUNTIF(M$3:M$21,$B56&amp;" "&amp;$A56)&gt;=Description!M12,"Passed", "Failed")</f>
        <v/>
      </c>
      <c r="N56" s="7">
        <f>IF(COUNTIF(N$3:N$21,$B56&amp;" "&amp;$A56)&gt;=Description!N12,"Passed", "Failed")</f>
        <v/>
      </c>
      <c r="O56" s="7">
        <f>IF(COUNTIF(O$3:O$21,$B56&amp;" "&amp;$A56)&gt;=Description!O12,"Passed", "Failed")</f>
        <v/>
      </c>
      <c r="P56" s="7">
        <f>IF(COUNTIF(P$3:P$21,$B56&amp;" "&amp;$A56)&gt;=Description!P12,"Passed", "Failed")</f>
        <v/>
      </c>
      <c r="Q56" s="7">
        <f>IF(COUNTIF(Q$3:Q$21,$B56&amp;" "&amp;$A56)&gt;=Description!Q12,"Passed", "Failed")</f>
        <v/>
      </c>
      <c r="R56" s="7">
        <f>IF(COUNTIF(R$3:R$21,$B56&amp;" "&amp;$A56)&gt;=Description!R12,"Passed", "Failed")</f>
        <v/>
      </c>
      <c r="S56" s="7">
        <f>IF(COUNTIF(S$3:S$21,$B56&amp;" "&amp;$A56)&gt;=Description!S12,"Passed", "Failed")</f>
        <v/>
      </c>
      <c r="T56" s="7">
        <f>IF(COUNTIF(T$3:T$21,$B56&amp;" "&amp;$A56)&gt;=Description!T12,"Passed", "Failed")</f>
        <v/>
      </c>
      <c r="U56" s="7">
        <f>IF(COUNTIF(U$3:U$21,$B56&amp;" "&amp;$A56)&gt;=Description!U12,"Passed", "Failed")</f>
        <v/>
      </c>
      <c r="V56" s="7">
        <f>IF(COUNTIF(V$3:V$21,$B56&amp;" "&amp;$A56)&gt;=Description!V12,"Passed", "Failed")</f>
        <v/>
      </c>
      <c r="W56" s="7">
        <f>IF(COUNTIF(W$3:W$21,$B56&amp;" "&amp;$A56)&gt;=Description!W12,"Passed", "Failed")</f>
        <v/>
      </c>
      <c r="X56" s="7">
        <f>IF(COUNTIF(X$3:X$21,$B56&amp;" "&amp;$A56)&gt;=Description!X12,"Passed", "Failed")</f>
        <v/>
      </c>
      <c r="Y56" s="7">
        <f>IF(COUNTIF(Y$3:Y$21,$B56&amp;" "&amp;$A56)&gt;=Description!Y12,"Passed", "Failed")</f>
        <v/>
      </c>
      <c r="Z56" s="7">
        <f>IF(COUNTIF(Z$3:Z$21,$B56&amp;" "&amp;$A56)&gt;=Description!Z12,"Passed", "Failed")</f>
        <v/>
      </c>
      <c r="AA56" s="7">
        <f>IF(COUNTIF(AA$3:AA$21,$B56&amp;" "&amp;$A56)&gt;=Description!AA12,"Passed", "Failed")</f>
        <v/>
      </c>
      <c r="AB56" s="7">
        <f>IF(COUNTIF(AB$3:AB$21,$B56&amp;" "&amp;$A56)&gt;=Description!AB12,"Passed", "Failed")</f>
        <v/>
      </c>
      <c r="AC56" s="7">
        <f>IF(COUNTIF(AC$3:AC$21,$B56&amp;" "&amp;$A56)&gt;=Description!AC12,"Passed", "Failed")</f>
        <v/>
      </c>
      <c r="AD56" s="7">
        <f>IF(COUNTIF(AD$3:AD$21,$B56&amp;" "&amp;$A56)&gt;=Description!AD12,"Passed", "Failed")</f>
        <v/>
      </c>
      <c r="AE56" s="7">
        <f>IF(COUNTIF(AE$3:AE$21,$B56&amp;" "&amp;$A56)&gt;=Description!AE12,"Passed", "Failed")</f>
        <v/>
      </c>
      <c r="AF56" s="7">
        <f>IF(COUNTIF(AF$3:AF$21,$B56&amp;" "&amp;$A56)&gt;=Description!AF12,"Passed", "Failed")</f>
        <v/>
      </c>
      <c r="AG56" s="7">
        <f>IF(COUNTIF(AG$3:AG$21,$B56&amp;" "&amp;$A56)&gt;=Description!AG12,"Passed", "Failed")</f>
        <v/>
      </c>
    </row>
    <row r="57">
      <c r="A57" s="15" t="inlineStr">
        <is>
          <t>Train</t>
        </is>
      </c>
      <c r="B57" s="6" t="inlineStr">
        <is>
          <t>A</t>
        </is>
      </c>
      <c r="C57" s="7">
        <f>IF(COUNTIF(C$3:C$21,$B57&amp;" "&amp;$A57)&gt;=Description!C13,"Passed", "Failed")</f>
        <v/>
      </c>
      <c r="D57" s="7">
        <f>IF(COUNTIF(D$3:D$21,$B57&amp;" "&amp;$A57)&gt;=Description!D13,"Passed", "Failed")</f>
        <v/>
      </c>
      <c r="E57" s="7">
        <f>IF(COUNTIF(E$3:E$21,$B57&amp;" "&amp;$A57)&gt;=Description!E13,"Passed", "Failed")</f>
        <v/>
      </c>
      <c r="F57" s="7">
        <f>IF(COUNTIF(F$3:F$21,$B57&amp;" "&amp;$A57)&gt;=Description!F13,"Passed", "Failed")</f>
        <v/>
      </c>
      <c r="G57" s="7">
        <f>IF(COUNTIF(G$3:G$21,$B57&amp;" "&amp;$A57)&gt;=Description!G13,"Passed", "Failed")</f>
        <v/>
      </c>
      <c r="H57" s="7">
        <f>IF(COUNTIF(H$3:H$21,$B57&amp;" "&amp;$A57)&gt;=Description!H13,"Passed", "Failed")</f>
        <v/>
      </c>
      <c r="I57" s="7">
        <f>IF(COUNTIF(I$3:I$21,$B57&amp;" "&amp;$A57)&gt;=Description!I13,"Passed", "Failed")</f>
        <v/>
      </c>
      <c r="J57" s="7">
        <f>IF(COUNTIF(J$3:J$21,$B57&amp;" "&amp;$A57)&gt;=Description!J13,"Passed", "Failed")</f>
        <v/>
      </c>
      <c r="K57" s="7">
        <f>IF(COUNTIF(K$3:K$21,$B57&amp;" "&amp;$A57)&gt;=Description!K13,"Passed", "Failed")</f>
        <v/>
      </c>
      <c r="L57" s="7">
        <f>IF(COUNTIF(L$3:L$21,$B57&amp;" "&amp;$A57)&gt;=Description!L13,"Passed", "Failed")</f>
        <v/>
      </c>
      <c r="M57" s="7">
        <f>IF(COUNTIF(M$3:M$21,$B57&amp;" "&amp;$A57)&gt;=Description!M13,"Passed", "Failed")</f>
        <v/>
      </c>
      <c r="N57" s="7">
        <f>IF(COUNTIF(N$3:N$21,$B57&amp;" "&amp;$A57)&gt;=Description!N13,"Passed", "Failed")</f>
        <v/>
      </c>
      <c r="O57" s="7">
        <f>IF(COUNTIF(O$3:O$21,$B57&amp;" "&amp;$A57)&gt;=Description!O13,"Passed", "Failed")</f>
        <v/>
      </c>
      <c r="P57" s="7">
        <f>IF(COUNTIF(P$3:P$21,$B57&amp;" "&amp;$A57)&gt;=Description!P13,"Passed", "Failed")</f>
        <v/>
      </c>
      <c r="Q57" s="7">
        <f>IF(COUNTIF(Q$3:Q$21,$B57&amp;" "&amp;$A57)&gt;=Description!Q13,"Passed", "Failed")</f>
        <v/>
      </c>
      <c r="R57" s="7">
        <f>IF(COUNTIF(R$3:R$21,$B57&amp;" "&amp;$A57)&gt;=Description!R13,"Passed", "Failed")</f>
        <v/>
      </c>
      <c r="S57" s="7">
        <f>IF(COUNTIF(S$3:S$21,$B57&amp;" "&amp;$A57)&gt;=Description!S13,"Passed", "Failed")</f>
        <v/>
      </c>
      <c r="T57" s="7">
        <f>IF(COUNTIF(T$3:T$21,$B57&amp;" "&amp;$A57)&gt;=Description!T13,"Passed", "Failed")</f>
        <v/>
      </c>
      <c r="U57" s="7">
        <f>IF(COUNTIF(U$3:U$21,$B57&amp;" "&amp;$A57)&gt;=Description!U13,"Passed", "Failed")</f>
        <v/>
      </c>
      <c r="V57" s="7">
        <f>IF(COUNTIF(V$3:V$21,$B57&amp;" "&amp;$A57)&gt;=Description!V13,"Passed", "Failed")</f>
        <v/>
      </c>
      <c r="W57" s="7">
        <f>IF(COUNTIF(W$3:W$21,$B57&amp;" "&amp;$A57)&gt;=Description!W13,"Passed", "Failed")</f>
        <v/>
      </c>
      <c r="X57" s="7">
        <f>IF(COUNTIF(X$3:X$21,$B57&amp;" "&amp;$A57)&gt;=Description!X13,"Passed", "Failed")</f>
        <v/>
      </c>
      <c r="Y57" s="7">
        <f>IF(COUNTIF(Y$3:Y$21,$B57&amp;" "&amp;$A57)&gt;=Description!Y13,"Passed", "Failed")</f>
        <v/>
      </c>
      <c r="Z57" s="7">
        <f>IF(COUNTIF(Z$3:Z$21,$B57&amp;" "&amp;$A57)&gt;=Description!Z13,"Passed", "Failed")</f>
        <v/>
      </c>
      <c r="AA57" s="7">
        <f>IF(COUNTIF(AA$3:AA$21,$B57&amp;" "&amp;$A57)&gt;=Description!AA13,"Passed", "Failed")</f>
        <v/>
      </c>
      <c r="AB57" s="7">
        <f>IF(COUNTIF(AB$3:AB$21,$B57&amp;" "&amp;$A57)&gt;=Description!AB13,"Passed", "Failed")</f>
        <v/>
      </c>
      <c r="AC57" s="7">
        <f>IF(COUNTIF(AC$3:AC$21,$B57&amp;" "&amp;$A57)&gt;=Description!AC13,"Passed", "Failed")</f>
        <v/>
      </c>
      <c r="AD57" s="7">
        <f>IF(COUNTIF(AD$3:AD$21,$B57&amp;" "&amp;$A57)&gt;=Description!AD13,"Passed", "Failed")</f>
        <v/>
      </c>
      <c r="AE57" s="7">
        <f>IF(COUNTIF(AE$3:AE$21,$B57&amp;" "&amp;$A57)&gt;=Description!AE13,"Passed", "Failed")</f>
        <v/>
      </c>
      <c r="AF57" s="7">
        <f>IF(COUNTIF(AF$3:AF$21,$B57&amp;" "&amp;$A57)&gt;=Description!AF13,"Passed", "Failed")</f>
        <v/>
      </c>
      <c r="AG57" s="7">
        <f>IF(COUNTIF(AG$3:AG$21,$B57&amp;" "&amp;$A57)&gt;=Description!AG13,"Passed", "Failed")</f>
        <v/>
      </c>
    </row>
    <row r="58">
      <c r="A58" s="16" t="inlineStr">
        <is>
          <t>Train</t>
        </is>
      </c>
      <c r="B58" s="10" t="inlineStr">
        <is>
          <t>N</t>
        </is>
      </c>
      <c r="C58" s="7">
        <f>IF(COUNTIF(C$3:C$21,$B58&amp;" "&amp;$A58)&gt;=Description!C14,"Passed", "Failed")</f>
        <v/>
      </c>
      <c r="D58" s="7">
        <f>IF(COUNTIF(D$3:D$21,$B58&amp;" "&amp;$A58)&gt;=Description!D14,"Passed", "Failed")</f>
        <v/>
      </c>
      <c r="E58" s="7">
        <f>IF(COUNTIF(E$3:E$21,$B58&amp;" "&amp;$A58)&gt;=Description!E14,"Passed", "Failed")</f>
        <v/>
      </c>
      <c r="F58" s="7">
        <f>IF(COUNTIF(F$3:F$21,$B58&amp;" "&amp;$A58)&gt;=Description!F14,"Passed", "Failed")</f>
        <v/>
      </c>
      <c r="G58" s="7">
        <f>IF(COUNTIF(G$3:G$21,$B58&amp;" "&amp;$A58)&gt;=Description!G14,"Passed", "Failed")</f>
        <v/>
      </c>
      <c r="H58" s="7">
        <f>IF(COUNTIF(H$3:H$21,$B58&amp;" "&amp;$A58)&gt;=Description!H14,"Passed", "Failed")</f>
        <v/>
      </c>
      <c r="I58" s="7">
        <f>IF(COUNTIF(I$3:I$21,$B58&amp;" "&amp;$A58)&gt;=Description!I14,"Passed", "Failed")</f>
        <v/>
      </c>
      <c r="J58" s="7">
        <f>IF(COUNTIF(J$3:J$21,$B58&amp;" "&amp;$A58)&gt;=Description!J14,"Passed", "Failed")</f>
        <v/>
      </c>
      <c r="K58" s="7">
        <f>IF(COUNTIF(K$3:K$21,$B58&amp;" "&amp;$A58)&gt;=Description!K14,"Passed", "Failed")</f>
        <v/>
      </c>
      <c r="L58" s="7">
        <f>IF(COUNTIF(L$3:L$21,$B58&amp;" "&amp;$A58)&gt;=Description!L14,"Passed", "Failed")</f>
        <v/>
      </c>
      <c r="M58" s="7">
        <f>IF(COUNTIF(M$3:M$21,$B58&amp;" "&amp;$A58)&gt;=Description!M14,"Passed", "Failed")</f>
        <v/>
      </c>
      <c r="N58" s="7">
        <f>IF(COUNTIF(N$3:N$21,$B58&amp;" "&amp;$A58)&gt;=Description!N14,"Passed", "Failed")</f>
        <v/>
      </c>
      <c r="O58" s="7">
        <f>IF(COUNTIF(O$3:O$21,$B58&amp;" "&amp;$A58)&gt;=Description!O14,"Passed", "Failed")</f>
        <v/>
      </c>
      <c r="P58" s="7">
        <f>IF(COUNTIF(P$3:P$21,$B58&amp;" "&amp;$A58)&gt;=Description!P14,"Passed", "Failed")</f>
        <v/>
      </c>
      <c r="Q58" s="7">
        <f>IF(COUNTIF(Q$3:Q$21,$B58&amp;" "&amp;$A58)&gt;=Description!Q14,"Passed", "Failed")</f>
        <v/>
      </c>
      <c r="R58" s="7">
        <f>IF(COUNTIF(R$3:R$21,$B58&amp;" "&amp;$A58)&gt;=Description!R14,"Passed", "Failed")</f>
        <v/>
      </c>
      <c r="S58" s="7">
        <f>IF(COUNTIF(S$3:S$21,$B58&amp;" "&amp;$A58)&gt;=Description!S14,"Passed", "Failed")</f>
        <v/>
      </c>
      <c r="T58" s="7">
        <f>IF(COUNTIF(T$3:T$21,$B58&amp;" "&amp;$A58)&gt;=Description!T14,"Passed", "Failed")</f>
        <v/>
      </c>
      <c r="U58" s="7">
        <f>IF(COUNTIF(U$3:U$21,$B58&amp;" "&amp;$A58)&gt;=Description!U14,"Passed", "Failed")</f>
        <v/>
      </c>
      <c r="V58" s="7">
        <f>IF(COUNTIF(V$3:V$21,$B58&amp;" "&amp;$A58)&gt;=Description!V14,"Passed", "Failed")</f>
        <v/>
      </c>
      <c r="W58" s="7">
        <f>IF(COUNTIF(W$3:W$21,$B58&amp;" "&amp;$A58)&gt;=Description!W14,"Passed", "Failed")</f>
        <v/>
      </c>
      <c r="X58" s="7">
        <f>IF(COUNTIF(X$3:X$21,$B58&amp;" "&amp;$A58)&gt;=Description!X14,"Passed", "Failed")</f>
        <v/>
      </c>
      <c r="Y58" s="7">
        <f>IF(COUNTIF(Y$3:Y$21,$B58&amp;" "&amp;$A58)&gt;=Description!Y14,"Passed", "Failed")</f>
        <v/>
      </c>
      <c r="Z58" s="7">
        <f>IF(COUNTIF(Z$3:Z$21,$B58&amp;" "&amp;$A58)&gt;=Description!Z14,"Passed", "Failed")</f>
        <v/>
      </c>
      <c r="AA58" s="7">
        <f>IF(COUNTIF(AA$3:AA$21,$B58&amp;" "&amp;$A58)&gt;=Description!AA14,"Passed", "Failed")</f>
        <v/>
      </c>
      <c r="AB58" s="7">
        <f>IF(COUNTIF(AB$3:AB$21,$B58&amp;" "&amp;$A58)&gt;=Description!AB14,"Passed", "Failed")</f>
        <v/>
      </c>
      <c r="AC58" s="7">
        <f>IF(COUNTIF(AC$3:AC$21,$B58&amp;" "&amp;$A58)&gt;=Description!AC14,"Passed", "Failed")</f>
        <v/>
      </c>
      <c r="AD58" s="7">
        <f>IF(COUNTIF(AD$3:AD$21,$B58&amp;" "&amp;$A58)&gt;=Description!AD14,"Passed", "Failed")</f>
        <v/>
      </c>
      <c r="AE58" s="7">
        <f>IF(COUNTIF(AE$3:AE$21,$B58&amp;" "&amp;$A58)&gt;=Description!AE14,"Passed", "Failed")</f>
        <v/>
      </c>
      <c r="AF58" s="7">
        <f>IF(COUNTIF(AF$3:AF$21,$B58&amp;" "&amp;$A58)&gt;=Description!AF14,"Passed", "Failed")</f>
        <v/>
      </c>
      <c r="AG58" s="7">
        <f>IF(COUNTIF(AG$3:AG$21,$B58&amp;" "&amp;$A58)&gt;=Description!AG14,"Passed", "Failed")</f>
        <v/>
      </c>
    </row>
    <row r="60">
      <c r="A60" s="1" t="inlineStr">
        <is>
          <t>Staff Statistics</t>
        </is>
      </c>
    </row>
    <row r="61">
      <c r="A61" s="25" t="inlineStr">
        <is>
          <t>Staff 1</t>
        </is>
      </c>
      <c r="B61" s="26">
        <f t="array" ref="B61">IFERROR(IF(ROUNDUP(SUMPRODUCT(1/COUNTIF(C61:AG61,C61:AG61)),0)&lt;=2, "Passed", "Failed"),"Failed")</f>
        <v/>
      </c>
      <c r="C61" s="7">
        <f>IF(LEN(C3)=1,"",RIGHT(C3,LEN(C3)-2))</f>
        <v/>
      </c>
      <c r="D61" s="7">
        <f>IF(LEN(D3)=1,"",RIGHT(D3,LEN(D3)-2))</f>
        <v/>
      </c>
      <c r="E61" s="7">
        <f>IF(LEN(E3)=1,"",RIGHT(E3,LEN(E3)-2))</f>
        <v/>
      </c>
      <c r="F61" s="7">
        <f>IF(LEN(F3)=1,"",RIGHT(F3,LEN(F3)-2))</f>
        <v/>
      </c>
      <c r="G61" s="7">
        <f>IF(LEN(G3)=1,"",RIGHT(G3,LEN(G3)-2))</f>
        <v/>
      </c>
      <c r="H61" s="7">
        <f>IF(LEN(H3)=1,"",RIGHT(H3,LEN(H3)-2))</f>
        <v/>
      </c>
      <c r="I61" s="7">
        <f>IF(LEN(I3)=1,"",RIGHT(I3,LEN(I3)-2))</f>
        <v/>
      </c>
      <c r="J61" s="7">
        <f>IF(LEN(J3)=1,"",RIGHT(J3,LEN(J3)-2))</f>
        <v/>
      </c>
      <c r="K61" s="7">
        <f>IF(LEN(K3)=1,"",RIGHT(K3,LEN(K3)-2))</f>
        <v/>
      </c>
      <c r="L61" s="7">
        <f>IF(LEN(L3)=1,"",RIGHT(L3,LEN(L3)-2))</f>
        <v/>
      </c>
      <c r="M61" s="7">
        <f>IF(LEN(M3)=1,"",RIGHT(M3,LEN(M3)-2))</f>
        <v/>
      </c>
      <c r="N61" s="7">
        <f>IF(LEN(N3)=1,"",RIGHT(N3,LEN(N3)-2))</f>
        <v/>
      </c>
      <c r="O61" s="7">
        <f>IF(LEN(O3)=1,"",RIGHT(O3,LEN(O3)-2))</f>
        <v/>
      </c>
      <c r="P61" s="7">
        <f>IF(LEN(P3)=1,"",RIGHT(P3,LEN(P3)-2))</f>
        <v/>
      </c>
      <c r="Q61" s="7">
        <f>IF(LEN(Q3)=1,"",RIGHT(Q3,LEN(Q3)-2))</f>
        <v/>
      </c>
      <c r="R61" s="7">
        <f>IF(LEN(R3)=1,"",RIGHT(R3,LEN(R3)-2))</f>
        <v/>
      </c>
      <c r="S61" s="7">
        <f>IF(LEN(S3)=1,"",RIGHT(S3,LEN(S3)-2))</f>
        <v/>
      </c>
      <c r="T61" s="7">
        <f>IF(LEN(T3)=1,"",RIGHT(T3,LEN(T3)-2))</f>
        <v/>
      </c>
      <c r="U61" s="7">
        <f>IF(LEN(U3)=1,"",RIGHT(U3,LEN(U3)-2))</f>
        <v/>
      </c>
      <c r="V61" s="7">
        <f>IF(LEN(V3)=1,"",RIGHT(V3,LEN(V3)-2))</f>
        <v/>
      </c>
      <c r="W61" s="7">
        <f>IF(LEN(W3)=1,"",RIGHT(W3,LEN(W3)-2))</f>
        <v/>
      </c>
      <c r="X61" s="7">
        <f>IF(LEN(X3)=1,"",RIGHT(X3,LEN(X3)-2))</f>
        <v/>
      </c>
      <c r="Y61" s="7">
        <f>IF(LEN(Y3)=1,"",RIGHT(Y3,LEN(Y3)-2))</f>
        <v/>
      </c>
      <c r="Z61" s="7">
        <f>IF(LEN(Z3)=1,"",RIGHT(Z3,LEN(Z3)-2))</f>
        <v/>
      </c>
      <c r="AA61" s="7">
        <f>IF(LEN(AA3)=1,"",RIGHT(AA3,LEN(AA3)-2))</f>
        <v/>
      </c>
      <c r="AB61" s="7">
        <f>IF(LEN(AB3)=1,"",RIGHT(AB3,LEN(AB3)-2))</f>
        <v/>
      </c>
      <c r="AC61" s="7">
        <f>IF(LEN(AC3)=1,"",RIGHT(AC3,LEN(AC3)-2))</f>
        <v/>
      </c>
      <c r="AD61" s="7">
        <f>IF(LEN(AD3)=1,"",RIGHT(AD3,LEN(AD3)-2))</f>
        <v/>
      </c>
      <c r="AE61" s="7">
        <f>IF(LEN(AE3)=1,"",RIGHT(AE3,LEN(AE3)-2))</f>
        <v/>
      </c>
      <c r="AF61" s="7">
        <f>IF(LEN(AF3)=1,"",RIGHT(AF3,LEN(AF3)-2))</f>
        <v/>
      </c>
      <c r="AG61" s="7">
        <f>IF(LEN(AG3)=1,"",RIGHT(AG3,LEN(AG3)-2))</f>
        <v/>
      </c>
    </row>
    <row r="62">
      <c r="A62" s="22" t="inlineStr">
        <is>
          <t>Staff 2</t>
        </is>
      </c>
      <c r="B62" s="26">
        <f t="array" ref="B62">IFERROR(IF(ROUNDUP(SUMPRODUCT(1/COUNTIF(C62:AG62,C62:AG62)),0)&lt;=2, "Passed", "Failed"),"Failed")</f>
        <v/>
      </c>
      <c r="C62" s="7">
        <f>IF(LEN(C4)=1,"",RIGHT(C4,LEN(C4)-2))</f>
        <v/>
      </c>
      <c r="D62" s="7">
        <f>IF(LEN(D4)=1,"",RIGHT(D4,LEN(D4)-2))</f>
        <v/>
      </c>
      <c r="E62" s="7">
        <f>IF(LEN(E4)=1,"",RIGHT(E4,LEN(E4)-2))</f>
        <v/>
      </c>
      <c r="F62" s="7">
        <f>IF(LEN(F4)=1,"",RIGHT(F4,LEN(F4)-2))</f>
        <v/>
      </c>
      <c r="G62" s="7">
        <f>IF(LEN(G4)=1,"",RIGHT(G4,LEN(G4)-2))</f>
        <v/>
      </c>
      <c r="H62" s="7">
        <f>IF(LEN(H4)=1,"",RIGHT(H4,LEN(H4)-2))</f>
        <v/>
      </c>
      <c r="I62" s="7">
        <f>IF(LEN(I4)=1,"",RIGHT(I4,LEN(I4)-2))</f>
        <v/>
      </c>
      <c r="J62" s="7">
        <f>IF(LEN(J4)=1,"",RIGHT(J4,LEN(J4)-2))</f>
        <v/>
      </c>
      <c r="K62" s="7">
        <f>IF(LEN(K4)=1,"",RIGHT(K4,LEN(K4)-2))</f>
        <v/>
      </c>
      <c r="L62" s="7">
        <f>IF(LEN(L4)=1,"",RIGHT(L4,LEN(L4)-2))</f>
        <v/>
      </c>
      <c r="M62" s="7">
        <f>IF(LEN(M4)=1,"",RIGHT(M4,LEN(M4)-2))</f>
        <v/>
      </c>
      <c r="N62" s="7">
        <f>IF(LEN(N4)=1,"",RIGHT(N4,LEN(N4)-2))</f>
        <v/>
      </c>
      <c r="O62" s="7">
        <f>IF(LEN(O4)=1,"",RIGHT(O4,LEN(O4)-2))</f>
        <v/>
      </c>
      <c r="P62" s="7">
        <f>IF(LEN(P4)=1,"",RIGHT(P4,LEN(P4)-2))</f>
        <v/>
      </c>
      <c r="Q62" s="7">
        <f>IF(LEN(Q4)=1,"",RIGHT(Q4,LEN(Q4)-2))</f>
        <v/>
      </c>
      <c r="R62" s="7">
        <f>IF(LEN(R4)=1,"",RIGHT(R4,LEN(R4)-2))</f>
        <v/>
      </c>
      <c r="S62" s="7">
        <f>IF(LEN(S4)=1,"",RIGHT(S4,LEN(S4)-2))</f>
        <v/>
      </c>
      <c r="T62" s="7">
        <f>IF(LEN(T4)=1,"",RIGHT(T4,LEN(T4)-2))</f>
        <v/>
      </c>
      <c r="U62" s="7">
        <f>IF(LEN(U4)=1,"",RIGHT(U4,LEN(U4)-2))</f>
        <v/>
      </c>
      <c r="V62" s="7">
        <f>IF(LEN(V4)=1,"",RIGHT(V4,LEN(V4)-2))</f>
        <v/>
      </c>
      <c r="W62" s="7">
        <f>IF(LEN(W4)=1,"",RIGHT(W4,LEN(W4)-2))</f>
        <v/>
      </c>
      <c r="X62" s="7">
        <f>IF(LEN(X4)=1,"",RIGHT(X4,LEN(X4)-2))</f>
        <v/>
      </c>
      <c r="Y62" s="7">
        <f>IF(LEN(Y4)=1,"",RIGHT(Y4,LEN(Y4)-2))</f>
        <v/>
      </c>
      <c r="Z62" s="7">
        <f>IF(LEN(Z4)=1,"",RIGHT(Z4,LEN(Z4)-2))</f>
        <v/>
      </c>
      <c r="AA62" s="7">
        <f>IF(LEN(AA4)=1,"",RIGHT(AA4,LEN(AA4)-2))</f>
        <v/>
      </c>
      <c r="AB62" s="7">
        <f>IF(LEN(AB4)=1,"",RIGHT(AB4,LEN(AB4)-2))</f>
        <v/>
      </c>
      <c r="AC62" s="7">
        <f>IF(LEN(AC4)=1,"",RIGHT(AC4,LEN(AC4)-2))</f>
        <v/>
      </c>
      <c r="AD62" s="7">
        <f>IF(LEN(AD4)=1,"",RIGHT(AD4,LEN(AD4)-2))</f>
        <v/>
      </c>
      <c r="AE62" s="7">
        <f>IF(LEN(AE4)=1,"",RIGHT(AE4,LEN(AE4)-2))</f>
        <v/>
      </c>
      <c r="AF62" s="7">
        <f>IF(LEN(AF4)=1,"",RIGHT(AF4,LEN(AF4)-2))</f>
        <v/>
      </c>
      <c r="AG62" s="7">
        <f>IF(LEN(AG4)=1,"",RIGHT(AG4,LEN(AG4)-2))</f>
        <v/>
      </c>
    </row>
    <row r="63">
      <c r="A63" s="22" t="inlineStr">
        <is>
          <t>Staff 3</t>
        </is>
      </c>
      <c r="B63" s="26">
        <f t="array" ref="B63">IFERROR(IF(ROUNDUP(SUMPRODUCT(1/COUNTIF(C63:AG63,C63:AG63)),0)&lt;=2, "Passed", "Failed"),"Failed")</f>
        <v/>
      </c>
      <c r="C63" s="7">
        <f>IF(LEN(C5)=1,"",RIGHT(C5,LEN(C5)-2))</f>
        <v/>
      </c>
      <c r="D63" s="7">
        <f>IF(LEN(D5)=1,"",RIGHT(D5,LEN(D5)-2))</f>
        <v/>
      </c>
      <c r="E63" s="7">
        <f>IF(LEN(E5)=1,"",RIGHT(E5,LEN(E5)-2))</f>
        <v/>
      </c>
      <c r="F63" s="7">
        <f>IF(LEN(F5)=1,"",RIGHT(F5,LEN(F5)-2))</f>
        <v/>
      </c>
      <c r="G63" s="7">
        <f>IF(LEN(G5)=1,"",RIGHT(G5,LEN(G5)-2))</f>
        <v/>
      </c>
      <c r="H63" s="7">
        <f>IF(LEN(H5)=1,"",RIGHT(H5,LEN(H5)-2))</f>
        <v/>
      </c>
      <c r="I63" s="7">
        <f>IF(LEN(I5)=1,"",RIGHT(I5,LEN(I5)-2))</f>
        <v/>
      </c>
      <c r="J63" s="7">
        <f>IF(LEN(J5)=1,"",RIGHT(J5,LEN(J5)-2))</f>
        <v/>
      </c>
      <c r="K63" s="7">
        <f>IF(LEN(K5)=1,"",RIGHT(K5,LEN(K5)-2))</f>
        <v/>
      </c>
      <c r="L63" s="7">
        <f>IF(LEN(L5)=1,"",RIGHT(L5,LEN(L5)-2))</f>
        <v/>
      </c>
      <c r="M63" s="7">
        <f>IF(LEN(M5)=1,"",RIGHT(M5,LEN(M5)-2))</f>
        <v/>
      </c>
      <c r="N63" s="7">
        <f>IF(LEN(N5)=1,"",RIGHT(N5,LEN(N5)-2))</f>
        <v/>
      </c>
      <c r="O63" s="7">
        <f>IF(LEN(O5)=1,"",RIGHT(O5,LEN(O5)-2))</f>
        <v/>
      </c>
      <c r="P63" s="7">
        <f>IF(LEN(P5)=1,"",RIGHT(P5,LEN(P5)-2))</f>
        <v/>
      </c>
      <c r="Q63" s="7">
        <f>IF(LEN(Q5)=1,"",RIGHT(Q5,LEN(Q5)-2))</f>
        <v/>
      </c>
      <c r="R63" s="7">
        <f>IF(LEN(R5)=1,"",RIGHT(R5,LEN(R5)-2))</f>
        <v/>
      </c>
      <c r="S63" s="7">
        <f>IF(LEN(S5)=1,"",RIGHT(S5,LEN(S5)-2))</f>
        <v/>
      </c>
      <c r="T63" s="7">
        <f>IF(LEN(T5)=1,"",RIGHT(T5,LEN(T5)-2))</f>
        <v/>
      </c>
      <c r="U63" s="7">
        <f>IF(LEN(U5)=1,"",RIGHT(U5,LEN(U5)-2))</f>
        <v/>
      </c>
      <c r="V63" s="7">
        <f>IF(LEN(V5)=1,"",RIGHT(V5,LEN(V5)-2))</f>
        <v/>
      </c>
      <c r="W63" s="7">
        <f>IF(LEN(W5)=1,"",RIGHT(W5,LEN(W5)-2))</f>
        <v/>
      </c>
      <c r="X63" s="7">
        <f>IF(LEN(X5)=1,"",RIGHT(X5,LEN(X5)-2))</f>
        <v/>
      </c>
      <c r="Y63" s="7">
        <f>IF(LEN(Y5)=1,"",RIGHT(Y5,LEN(Y5)-2))</f>
        <v/>
      </c>
      <c r="Z63" s="7">
        <f>IF(LEN(Z5)=1,"",RIGHT(Z5,LEN(Z5)-2))</f>
        <v/>
      </c>
      <c r="AA63" s="7">
        <f>IF(LEN(AA5)=1,"",RIGHT(AA5,LEN(AA5)-2))</f>
        <v/>
      </c>
      <c r="AB63" s="7">
        <f>IF(LEN(AB5)=1,"",RIGHT(AB5,LEN(AB5)-2))</f>
        <v/>
      </c>
      <c r="AC63" s="7">
        <f>IF(LEN(AC5)=1,"",RIGHT(AC5,LEN(AC5)-2))</f>
        <v/>
      </c>
      <c r="AD63" s="7">
        <f>IF(LEN(AD5)=1,"",RIGHT(AD5,LEN(AD5)-2))</f>
        <v/>
      </c>
      <c r="AE63" s="7">
        <f>IF(LEN(AE5)=1,"",RIGHT(AE5,LEN(AE5)-2))</f>
        <v/>
      </c>
      <c r="AF63" s="7">
        <f>IF(LEN(AF5)=1,"",RIGHT(AF5,LEN(AF5)-2))</f>
        <v/>
      </c>
      <c r="AG63" s="7">
        <f>IF(LEN(AG5)=1,"",RIGHT(AG5,LEN(AG5)-2))</f>
        <v/>
      </c>
    </row>
    <row r="64">
      <c r="A64" s="22" t="inlineStr">
        <is>
          <t>Staff 4</t>
        </is>
      </c>
      <c r="B64" s="26">
        <f t="array" ref="B64">IFERROR(IF(ROUNDUP(SUMPRODUCT(1/COUNTIF(C64:AG64,C64:AG64)),0)&lt;=2, "Passed", "Failed"),"Failed")</f>
        <v/>
      </c>
      <c r="C64" s="7">
        <f>IF(LEN(C6)=1,"",RIGHT(C6,LEN(C6)-2))</f>
        <v/>
      </c>
      <c r="D64" s="7">
        <f>IF(LEN(D6)=1,"",RIGHT(D6,LEN(D6)-2))</f>
        <v/>
      </c>
      <c r="E64" s="7">
        <f>IF(LEN(E6)=1,"",RIGHT(E6,LEN(E6)-2))</f>
        <v/>
      </c>
      <c r="F64" s="7">
        <f>IF(LEN(F6)=1,"",RIGHT(F6,LEN(F6)-2))</f>
        <v/>
      </c>
      <c r="G64" s="7">
        <f>IF(LEN(G6)=1,"",RIGHT(G6,LEN(G6)-2))</f>
        <v/>
      </c>
      <c r="H64" s="7">
        <f>IF(LEN(H6)=1,"",RIGHT(H6,LEN(H6)-2))</f>
        <v/>
      </c>
      <c r="I64" s="7">
        <f>IF(LEN(I6)=1,"",RIGHT(I6,LEN(I6)-2))</f>
        <v/>
      </c>
      <c r="J64" s="7">
        <f>IF(LEN(J6)=1,"",RIGHT(J6,LEN(J6)-2))</f>
        <v/>
      </c>
      <c r="K64" s="7">
        <f>IF(LEN(K6)=1,"",RIGHT(K6,LEN(K6)-2))</f>
        <v/>
      </c>
      <c r="L64" s="7">
        <f>IF(LEN(L6)=1,"",RIGHT(L6,LEN(L6)-2))</f>
        <v/>
      </c>
      <c r="M64" s="7">
        <f>IF(LEN(M6)=1,"",RIGHT(M6,LEN(M6)-2))</f>
        <v/>
      </c>
      <c r="N64" s="7">
        <f>IF(LEN(N6)=1,"",RIGHT(N6,LEN(N6)-2))</f>
        <v/>
      </c>
      <c r="O64" s="7">
        <f>IF(LEN(O6)=1,"",RIGHT(O6,LEN(O6)-2))</f>
        <v/>
      </c>
      <c r="P64" s="7">
        <f>IF(LEN(P6)=1,"",RIGHT(P6,LEN(P6)-2))</f>
        <v/>
      </c>
      <c r="Q64" s="7">
        <f>IF(LEN(Q6)=1,"",RIGHT(Q6,LEN(Q6)-2))</f>
        <v/>
      </c>
      <c r="R64" s="7">
        <f>IF(LEN(R6)=1,"",RIGHT(R6,LEN(R6)-2))</f>
        <v/>
      </c>
      <c r="S64" s="7">
        <f>IF(LEN(S6)=1,"",RIGHT(S6,LEN(S6)-2))</f>
        <v/>
      </c>
      <c r="T64" s="7">
        <f>IF(LEN(T6)=1,"",RIGHT(T6,LEN(T6)-2))</f>
        <v/>
      </c>
      <c r="U64" s="7">
        <f>IF(LEN(U6)=1,"",RIGHT(U6,LEN(U6)-2))</f>
        <v/>
      </c>
      <c r="V64" s="7">
        <f>IF(LEN(V6)=1,"",RIGHT(V6,LEN(V6)-2))</f>
        <v/>
      </c>
      <c r="W64" s="7">
        <f>IF(LEN(W6)=1,"",RIGHT(W6,LEN(W6)-2))</f>
        <v/>
      </c>
      <c r="X64" s="7">
        <f>IF(LEN(X6)=1,"",RIGHT(X6,LEN(X6)-2))</f>
        <v/>
      </c>
      <c r="Y64" s="7">
        <f>IF(LEN(Y6)=1,"",RIGHT(Y6,LEN(Y6)-2))</f>
        <v/>
      </c>
      <c r="Z64" s="7">
        <f>IF(LEN(Z6)=1,"",RIGHT(Z6,LEN(Z6)-2))</f>
        <v/>
      </c>
      <c r="AA64" s="7">
        <f>IF(LEN(AA6)=1,"",RIGHT(AA6,LEN(AA6)-2))</f>
        <v/>
      </c>
      <c r="AB64" s="7">
        <f>IF(LEN(AB6)=1,"",RIGHT(AB6,LEN(AB6)-2))</f>
        <v/>
      </c>
      <c r="AC64" s="7">
        <f>IF(LEN(AC6)=1,"",RIGHT(AC6,LEN(AC6)-2))</f>
        <v/>
      </c>
      <c r="AD64" s="7">
        <f>IF(LEN(AD6)=1,"",RIGHT(AD6,LEN(AD6)-2))</f>
        <v/>
      </c>
      <c r="AE64" s="7">
        <f>IF(LEN(AE6)=1,"",RIGHT(AE6,LEN(AE6)-2))</f>
        <v/>
      </c>
      <c r="AF64" s="7">
        <f>IF(LEN(AF6)=1,"",RIGHT(AF6,LEN(AF6)-2))</f>
        <v/>
      </c>
      <c r="AG64" s="7">
        <f>IF(LEN(AG6)=1,"",RIGHT(AG6,LEN(AG6)-2))</f>
        <v/>
      </c>
    </row>
    <row r="65">
      <c r="A65" s="22" t="inlineStr">
        <is>
          <t>Staff 5</t>
        </is>
      </c>
      <c r="B65" s="26">
        <f t="array" ref="B65">IFERROR(IF(ROUNDUP(SUMPRODUCT(1/COUNTIF(C65:AG65,C65:AG65)),0)&lt;=2, "Passed", "Failed"),"Failed")</f>
        <v/>
      </c>
      <c r="C65" s="7">
        <f>IF(LEN(C7)=1,"",RIGHT(C7,LEN(C7)-2))</f>
        <v/>
      </c>
      <c r="D65" s="7">
        <f>IF(LEN(D7)=1,"",RIGHT(D7,LEN(D7)-2))</f>
        <v/>
      </c>
      <c r="E65" s="7">
        <f>IF(LEN(E7)=1,"",RIGHT(E7,LEN(E7)-2))</f>
        <v/>
      </c>
      <c r="F65" s="7">
        <f>IF(LEN(F7)=1,"",RIGHT(F7,LEN(F7)-2))</f>
        <v/>
      </c>
      <c r="G65" s="7">
        <f>IF(LEN(G7)=1,"",RIGHT(G7,LEN(G7)-2))</f>
        <v/>
      </c>
      <c r="H65" s="7">
        <f>IF(LEN(H7)=1,"",RIGHT(H7,LEN(H7)-2))</f>
        <v/>
      </c>
      <c r="I65" s="7">
        <f>IF(LEN(I7)=1,"",RIGHT(I7,LEN(I7)-2))</f>
        <v/>
      </c>
      <c r="J65" s="7">
        <f>IF(LEN(J7)=1,"",RIGHT(J7,LEN(J7)-2))</f>
        <v/>
      </c>
      <c r="K65" s="7">
        <f>IF(LEN(K7)=1,"",RIGHT(K7,LEN(K7)-2))</f>
        <v/>
      </c>
      <c r="L65" s="7">
        <f>IF(LEN(L7)=1,"",RIGHT(L7,LEN(L7)-2))</f>
        <v/>
      </c>
      <c r="M65" s="7">
        <f>IF(LEN(M7)=1,"",RIGHT(M7,LEN(M7)-2))</f>
        <v/>
      </c>
      <c r="N65" s="7">
        <f>IF(LEN(N7)=1,"",RIGHT(N7,LEN(N7)-2))</f>
        <v/>
      </c>
      <c r="O65" s="7">
        <f>IF(LEN(O7)=1,"",RIGHT(O7,LEN(O7)-2))</f>
        <v/>
      </c>
      <c r="P65" s="7">
        <f>IF(LEN(P7)=1,"",RIGHT(P7,LEN(P7)-2))</f>
        <v/>
      </c>
      <c r="Q65" s="7">
        <f>IF(LEN(Q7)=1,"",RIGHT(Q7,LEN(Q7)-2))</f>
        <v/>
      </c>
      <c r="R65" s="7">
        <f>IF(LEN(R7)=1,"",RIGHT(R7,LEN(R7)-2))</f>
        <v/>
      </c>
      <c r="S65" s="7">
        <f>IF(LEN(S7)=1,"",RIGHT(S7,LEN(S7)-2))</f>
        <v/>
      </c>
      <c r="T65" s="7">
        <f>IF(LEN(T7)=1,"",RIGHT(T7,LEN(T7)-2))</f>
        <v/>
      </c>
      <c r="U65" s="7">
        <f>IF(LEN(U7)=1,"",RIGHT(U7,LEN(U7)-2))</f>
        <v/>
      </c>
      <c r="V65" s="7">
        <f>IF(LEN(V7)=1,"",RIGHT(V7,LEN(V7)-2))</f>
        <v/>
      </c>
      <c r="W65" s="7">
        <f>IF(LEN(W7)=1,"",RIGHT(W7,LEN(W7)-2))</f>
        <v/>
      </c>
      <c r="X65" s="7">
        <f>IF(LEN(X7)=1,"",RIGHT(X7,LEN(X7)-2))</f>
        <v/>
      </c>
      <c r="Y65" s="7">
        <f>IF(LEN(Y7)=1,"",RIGHT(Y7,LEN(Y7)-2))</f>
        <v/>
      </c>
      <c r="Z65" s="7">
        <f>IF(LEN(Z7)=1,"",RIGHT(Z7,LEN(Z7)-2))</f>
        <v/>
      </c>
      <c r="AA65" s="7">
        <f>IF(LEN(AA7)=1,"",RIGHT(AA7,LEN(AA7)-2))</f>
        <v/>
      </c>
      <c r="AB65" s="7">
        <f>IF(LEN(AB7)=1,"",RIGHT(AB7,LEN(AB7)-2))</f>
        <v/>
      </c>
      <c r="AC65" s="7">
        <f>IF(LEN(AC7)=1,"",RIGHT(AC7,LEN(AC7)-2))</f>
        <v/>
      </c>
      <c r="AD65" s="7">
        <f>IF(LEN(AD7)=1,"",RIGHT(AD7,LEN(AD7)-2))</f>
        <v/>
      </c>
      <c r="AE65" s="7">
        <f>IF(LEN(AE7)=1,"",RIGHT(AE7,LEN(AE7)-2))</f>
        <v/>
      </c>
      <c r="AF65" s="7">
        <f>IF(LEN(AF7)=1,"",RIGHT(AF7,LEN(AF7)-2))</f>
        <v/>
      </c>
      <c r="AG65" s="7">
        <f>IF(LEN(AG7)=1,"",RIGHT(AG7,LEN(AG7)-2))</f>
        <v/>
      </c>
    </row>
    <row r="66">
      <c r="A66" s="22" t="inlineStr">
        <is>
          <t>Staff 6</t>
        </is>
      </c>
      <c r="B66" s="26">
        <f t="array" ref="B66">IFERROR(IF(ROUNDUP(SUMPRODUCT(1/COUNTIF(C66:AG66,C66:AG66)),0)&lt;=2, "Passed", "Failed"),"Failed")</f>
        <v/>
      </c>
      <c r="C66" s="7">
        <f>IF(LEN(C8)=1,"",RIGHT(C8,LEN(C8)-2))</f>
        <v/>
      </c>
      <c r="D66" s="7">
        <f>IF(LEN(D8)=1,"",RIGHT(D8,LEN(D8)-2))</f>
        <v/>
      </c>
      <c r="E66" s="7">
        <f>IF(LEN(E8)=1,"",RIGHT(E8,LEN(E8)-2))</f>
        <v/>
      </c>
      <c r="F66" s="7">
        <f>IF(LEN(F8)=1,"",RIGHT(F8,LEN(F8)-2))</f>
        <v/>
      </c>
      <c r="G66" s="7">
        <f>IF(LEN(G8)=1,"",RIGHT(G8,LEN(G8)-2))</f>
        <v/>
      </c>
      <c r="H66" s="7">
        <f>IF(LEN(H8)=1,"",RIGHT(H8,LEN(H8)-2))</f>
        <v/>
      </c>
      <c r="I66" s="7">
        <f>IF(LEN(I8)=1,"",RIGHT(I8,LEN(I8)-2))</f>
        <v/>
      </c>
      <c r="J66" s="7">
        <f>IF(LEN(J8)=1,"",RIGHT(J8,LEN(J8)-2))</f>
        <v/>
      </c>
      <c r="K66" s="7">
        <f>IF(LEN(K8)=1,"",RIGHT(K8,LEN(K8)-2))</f>
        <v/>
      </c>
      <c r="L66" s="7">
        <f>IF(LEN(L8)=1,"",RIGHT(L8,LEN(L8)-2))</f>
        <v/>
      </c>
      <c r="M66" s="7">
        <f>IF(LEN(M8)=1,"",RIGHT(M8,LEN(M8)-2))</f>
        <v/>
      </c>
      <c r="N66" s="7">
        <f>IF(LEN(N8)=1,"",RIGHT(N8,LEN(N8)-2))</f>
        <v/>
      </c>
      <c r="O66" s="7">
        <f>IF(LEN(O8)=1,"",RIGHT(O8,LEN(O8)-2))</f>
        <v/>
      </c>
      <c r="P66" s="7">
        <f>IF(LEN(P8)=1,"",RIGHT(P8,LEN(P8)-2))</f>
        <v/>
      </c>
      <c r="Q66" s="7">
        <f>IF(LEN(Q8)=1,"",RIGHT(Q8,LEN(Q8)-2))</f>
        <v/>
      </c>
      <c r="R66" s="7">
        <f>IF(LEN(R8)=1,"",RIGHT(R8,LEN(R8)-2))</f>
        <v/>
      </c>
      <c r="S66" s="7">
        <f>IF(LEN(S8)=1,"",RIGHT(S8,LEN(S8)-2))</f>
        <v/>
      </c>
      <c r="T66" s="7">
        <f>IF(LEN(T8)=1,"",RIGHT(T8,LEN(T8)-2))</f>
        <v/>
      </c>
      <c r="U66" s="7">
        <f>IF(LEN(U8)=1,"",RIGHT(U8,LEN(U8)-2))</f>
        <v/>
      </c>
      <c r="V66" s="7">
        <f>IF(LEN(V8)=1,"",RIGHT(V8,LEN(V8)-2))</f>
        <v/>
      </c>
      <c r="W66" s="7">
        <f>IF(LEN(W8)=1,"",RIGHT(W8,LEN(W8)-2))</f>
        <v/>
      </c>
      <c r="X66" s="7">
        <f>IF(LEN(X8)=1,"",RIGHT(X8,LEN(X8)-2))</f>
        <v/>
      </c>
      <c r="Y66" s="7">
        <f>IF(LEN(Y8)=1,"",RIGHT(Y8,LEN(Y8)-2))</f>
        <v/>
      </c>
      <c r="Z66" s="7">
        <f>IF(LEN(Z8)=1,"",RIGHT(Z8,LEN(Z8)-2))</f>
        <v/>
      </c>
      <c r="AA66" s="7">
        <f>IF(LEN(AA8)=1,"",RIGHT(AA8,LEN(AA8)-2))</f>
        <v/>
      </c>
      <c r="AB66" s="7">
        <f>IF(LEN(AB8)=1,"",RIGHT(AB8,LEN(AB8)-2))</f>
        <v/>
      </c>
      <c r="AC66" s="7">
        <f>IF(LEN(AC8)=1,"",RIGHT(AC8,LEN(AC8)-2))</f>
        <v/>
      </c>
      <c r="AD66" s="7">
        <f>IF(LEN(AD8)=1,"",RIGHT(AD8,LEN(AD8)-2))</f>
        <v/>
      </c>
      <c r="AE66" s="7">
        <f>IF(LEN(AE8)=1,"",RIGHT(AE8,LEN(AE8)-2))</f>
        <v/>
      </c>
      <c r="AF66" s="7">
        <f>IF(LEN(AF8)=1,"",RIGHT(AF8,LEN(AF8)-2))</f>
        <v/>
      </c>
      <c r="AG66" s="7">
        <f>IF(LEN(AG8)=1,"",RIGHT(AG8,LEN(AG8)-2))</f>
        <v/>
      </c>
    </row>
    <row r="67">
      <c r="A67" s="22" t="inlineStr">
        <is>
          <t>Staff 7</t>
        </is>
      </c>
      <c r="B67" s="26">
        <f t="array" ref="B67">IFERROR(IF(ROUNDUP(SUMPRODUCT(1/COUNTIF(C67:AG67,C67:AG67)),0)&lt;=2, "Passed", "Failed"),"Failed")</f>
        <v/>
      </c>
      <c r="C67" s="7">
        <f>IF(LEN(C9)=1,"",RIGHT(C9,LEN(C9)-2))</f>
        <v/>
      </c>
      <c r="D67" s="7">
        <f>IF(LEN(D9)=1,"",RIGHT(D9,LEN(D9)-2))</f>
        <v/>
      </c>
      <c r="E67" s="7">
        <f>IF(LEN(E9)=1,"",RIGHT(E9,LEN(E9)-2))</f>
        <v/>
      </c>
      <c r="F67" s="7">
        <f>IF(LEN(F9)=1,"",RIGHT(F9,LEN(F9)-2))</f>
        <v/>
      </c>
      <c r="G67" s="7">
        <f>IF(LEN(G9)=1,"",RIGHT(G9,LEN(G9)-2))</f>
        <v/>
      </c>
      <c r="H67" s="7">
        <f>IF(LEN(H9)=1,"",RIGHT(H9,LEN(H9)-2))</f>
        <v/>
      </c>
      <c r="I67" s="7">
        <f>IF(LEN(I9)=1,"",RIGHT(I9,LEN(I9)-2))</f>
        <v/>
      </c>
      <c r="J67" s="7">
        <f>IF(LEN(J9)=1,"",RIGHT(J9,LEN(J9)-2))</f>
        <v/>
      </c>
      <c r="K67" s="7">
        <f>IF(LEN(K9)=1,"",RIGHT(K9,LEN(K9)-2))</f>
        <v/>
      </c>
      <c r="L67" s="7">
        <f>IF(LEN(L9)=1,"",RIGHT(L9,LEN(L9)-2))</f>
        <v/>
      </c>
      <c r="M67" s="7">
        <f>IF(LEN(M9)=1,"",RIGHT(M9,LEN(M9)-2))</f>
        <v/>
      </c>
      <c r="N67" s="7">
        <f>IF(LEN(N9)=1,"",RIGHT(N9,LEN(N9)-2))</f>
        <v/>
      </c>
      <c r="O67" s="7">
        <f>IF(LEN(O9)=1,"",RIGHT(O9,LEN(O9)-2))</f>
        <v/>
      </c>
      <c r="P67" s="7">
        <f>IF(LEN(P9)=1,"",RIGHT(P9,LEN(P9)-2))</f>
        <v/>
      </c>
      <c r="Q67" s="7">
        <f>IF(LEN(Q9)=1,"",RIGHT(Q9,LEN(Q9)-2))</f>
        <v/>
      </c>
      <c r="R67" s="7">
        <f>IF(LEN(R9)=1,"",RIGHT(R9,LEN(R9)-2))</f>
        <v/>
      </c>
      <c r="S67" s="7">
        <f>IF(LEN(S9)=1,"",RIGHT(S9,LEN(S9)-2))</f>
        <v/>
      </c>
      <c r="T67" s="7">
        <f>IF(LEN(T9)=1,"",RIGHT(T9,LEN(T9)-2))</f>
        <v/>
      </c>
      <c r="U67" s="7">
        <f>IF(LEN(U9)=1,"",RIGHT(U9,LEN(U9)-2))</f>
        <v/>
      </c>
      <c r="V67" s="7">
        <f>IF(LEN(V9)=1,"",RIGHT(V9,LEN(V9)-2))</f>
        <v/>
      </c>
      <c r="W67" s="7">
        <f>IF(LEN(W9)=1,"",RIGHT(W9,LEN(W9)-2))</f>
        <v/>
      </c>
      <c r="X67" s="7">
        <f>IF(LEN(X9)=1,"",RIGHT(X9,LEN(X9)-2))</f>
        <v/>
      </c>
      <c r="Y67" s="7">
        <f>IF(LEN(Y9)=1,"",RIGHT(Y9,LEN(Y9)-2))</f>
        <v/>
      </c>
      <c r="Z67" s="7">
        <f>IF(LEN(Z9)=1,"",RIGHT(Z9,LEN(Z9)-2))</f>
        <v/>
      </c>
      <c r="AA67" s="7">
        <f>IF(LEN(AA9)=1,"",RIGHT(AA9,LEN(AA9)-2))</f>
        <v/>
      </c>
      <c r="AB67" s="7">
        <f>IF(LEN(AB9)=1,"",RIGHT(AB9,LEN(AB9)-2))</f>
        <v/>
      </c>
      <c r="AC67" s="7">
        <f>IF(LEN(AC9)=1,"",RIGHT(AC9,LEN(AC9)-2))</f>
        <v/>
      </c>
      <c r="AD67" s="7">
        <f>IF(LEN(AD9)=1,"",RIGHT(AD9,LEN(AD9)-2))</f>
        <v/>
      </c>
      <c r="AE67" s="7">
        <f>IF(LEN(AE9)=1,"",RIGHT(AE9,LEN(AE9)-2))</f>
        <v/>
      </c>
      <c r="AF67" s="7">
        <f>IF(LEN(AF9)=1,"",RIGHT(AF9,LEN(AF9)-2))</f>
        <v/>
      </c>
      <c r="AG67" s="7">
        <f>IF(LEN(AG9)=1,"",RIGHT(AG9,LEN(AG9)-2))</f>
        <v/>
      </c>
    </row>
    <row r="68">
      <c r="A68" s="22" t="inlineStr">
        <is>
          <t>Staff 8</t>
        </is>
      </c>
      <c r="B68" s="26">
        <f t="array" ref="B68">IFERROR(IF(ROUNDUP(SUMPRODUCT(1/COUNTIF(C68:AG68,C68:AG68)),0)&lt;=2, "Passed", "Failed"),"Failed")</f>
        <v/>
      </c>
      <c r="C68" s="7">
        <f>IF(LEN(C10)=1,"",RIGHT(C10,LEN(C10)-2))</f>
        <v/>
      </c>
      <c r="D68" s="7">
        <f>IF(LEN(D10)=1,"",RIGHT(D10,LEN(D10)-2))</f>
        <v/>
      </c>
      <c r="E68" s="7">
        <f>IF(LEN(E10)=1,"",RIGHT(E10,LEN(E10)-2))</f>
        <v/>
      </c>
      <c r="F68" s="7">
        <f>IF(LEN(F10)=1,"",RIGHT(F10,LEN(F10)-2))</f>
        <v/>
      </c>
      <c r="G68" s="7">
        <f>IF(LEN(G10)=1,"",RIGHT(G10,LEN(G10)-2))</f>
        <v/>
      </c>
      <c r="H68" s="7">
        <f>IF(LEN(H10)=1,"",RIGHT(H10,LEN(H10)-2))</f>
        <v/>
      </c>
      <c r="I68" s="7">
        <f>IF(LEN(I10)=1,"",RIGHT(I10,LEN(I10)-2))</f>
        <v/>
      </c>
      <c r="J68" s="7">
        <f>IF(LEN(J10)=1,"",RIGHT(J10,LEN(J10)-2))</f>
        <v/>
      </c>
      <c r="K68" s="7">
        <f>IF(LEN(K10)=1,"",RIGHT(K10,LEN(K10)-2))</f>
        <v/>
      </c>
      <c r="L68" s="7">
        <f>IF(LEN(L10)=1,"",RIGHT(L10,LEN(L10)-2))</f>
        <v/>
      </c>
      <c r="M68" s="7">
        <f>IF(LEN(M10)=1,"",RIGHT(M10,LEN(M10)-2))</f>
        <v/>
      </c>
      <c r="N68" s="7">
        <f>IF(LEN(N10)=1,"",RIGHT(N10,LEN(N10)-2))</f>
        <v/>
      </c>
      <c r="O68" s="7">
        <f>IF(LEN(O10)=1,"",RIGHT(O10,LEN(O10)-2))</f>
        <v/>
      </c>
      <c r="P68" s="7">
        <f>IF(LEN(P10)=1,"",RIGHT(P10,LEN(P10)-2))</f>
        <v/>
      </c>
      <c r="Q68" s="7">
        <f>IF(LEN(Q10)=1,"",RIGHT(Q10,LEN(Q10)-2))</f>
        <v/>
      </c>
      <c r="R68" s="7">
        <f>IF(LEN(R10)=1,"",RIGHT(R10,LEN(R10)-2))</f>
        <v/>
      </c>
      <c r="S68" s="7">
        <f>IF(LEN(S10)=1,"",RIGHT(S10,LEN(S10)-2))</f>
        <v/>
      </c>
      <c r="T68" s="7">
        <f>IF(LEN(T10)=1,"",RIGHT(T10,LEN(T10)-2))</f>
        <v/>
      </c>
      <c r="U68" s="7">
        <f>IF(LEN(U10)=1,"",RIGHT(U10,LEN(U10)-2))</f>
        <v/>
      </c>
      <c r="V68" s="7">
        <f>IF(LEN(V10)=1,"",RIGHT(V10,LEN(V10)-2))</f>
        <v/>
      </c>
      <c r="W68" s="7">
        <f>IF(LEN(W10)=1,"",RIGHT(W10,LEN(W10)-2))</f>
        <v/>
      </c>
      <c r="X68" s="7">
        <f>IF(LEN(X10)=1,"",RIGHT(X10,LEN(X10)-2))</f>
        <v/>
      </c>
      <c r="Y68" s="7">
        <f>IF(LEN(Y10)=1,"",RIGHT(Y10,LEN(Y10)-2))</f>
        <v/>
      </c>
      <c r="Z68" s="7">
        <f>IF(LEN(Z10)=1,"",RIGHT(Z10,LEN(Z10)-2))</f>
        <v/>
      </c>
      <c r="AA68" s="7">
        <f>IF(LEN(AA10)=1,"",RIGHT(AA10,LEN(AA10)-2))</f>
        <v/>
      </c>
      <c r="AB68" s="7">
        <f>IF(LEN(AB10)=1,"",RIGHT(AB10,LEN(AB10)-2))</f>
        <v/>
      </c>
      <c r="AC68" s="7">
        <f>IF(LEN(AC10)=1,"",RIGHT(AC10,LEN(AC10)-2))</f>
        <v/>
      </c>
      <c r="AD68" s="7">
        <f>IF(LEN(AD10)=1,"",RIGHT(AD10,LEN(AD10)-2))</f>
        <v/>
      </c>
      <c r="AE68" s="7">
        <f>IF(LEN(AE10)=1,"",RIGHT(AE10,LEN(AE10)-2))</f>
        <v/>
      </c>
      <c r="AF68" s="7">
        <f>IF(LEN(AF10)=1,"",RIGHT(AF10,LEN(AF10)-2))</f>
        <v/>
      </c>
      <c r="AG68" s="7">
        <f>IF(LEN(AG10)=1,"",RIGHT(AG10,LEN(AG10)-2))</f>
        <v/>
      </c>
    </row>
    <row r="69">
      <c r="A69" s="22" t="inlineStr">
        <is>
          <t>Staff 9</t>
        </is>
      </c>
      <c r="B69" s="26">
        <f t="array" ref="B69">IFERROR(IF(ROUNDUP(SUMPRODUCT(1/COUNTIF(C69:AG69,C69:AG69)),0)&lt;=2, "Passed", "Failed"),"Failed")</f>
        <v/>
      </c>
      <c r="C69" s="7">
        <f>IF(LEN(C11)=1,"",RIGHT(C11,LEN(C11)-2))</f>
        <v/>
      </c>
      <c r="D69" s="7">
        <f>IF(LEN(D11)=1,"",RIGHT(D11,LEN(D11)-2))</f>
        <v/>
      </c>
      <c r="E69" s="7">
        <f>IF(LEN(E11)=1,"",RIGHT(E11,LEN(E11)-2))</f>
        <v/>
      </c>
      <c r="F69" s="7">
        <f>IF(LEN(F11)=1,"",RIGHT(F11,LEN(F11)-2))</f>
        <v/>
      </c>
      <c r="G69" s="7">
        <f>IF(LEN(G11)=1,"",RIGHT(G11,LEN(G11)-2))</f>
        <v/>
      </c>
      <c r="H69" s="7">
        <f>IF(LEN(H11)=1,"",RIGHT(H11,LEN(H11)-2))</f>
        <v/>
      </c>
      <c r="I69" s="7">
        <f>IF(LEN(I11)=1,"",RIGHT(I11,LEN(I11)-2))</f>
        <v/>
      </c>
      <c r="J69" s="7">
        <f>IF(LEN(J11)=1,"",RIGHT(J11,LEN(J11)-2))</f>
        <v/>
      </c>
      <c r="K69" s="7">
        <f>IF(LEN(K11)=1,"",RIGHT(K11,LEN(K11)-2))</f>
        <v/>
      </c>
      <c r="L69" s="7">
        <f>IF(LEN(L11)=1,"",RIGHT(L11,LEN(L11)-2))</f>
        <v/>
      </c>
      <c r="M69" s="7">
        <f>IF(LEN(M11)=1,"",RIGHT(M11,LEN(M11)-2))</f>
        <v/>
      </c>
      <c r="N69" s="7">
        <f>IF(LEN(N11)=1,"",RIGHT(N11,LEN(N11)-2))</f>
        <v/>
      </c>
      <c r="O69" s="7">
        <f>IF(LEN(O11)=1,"",RIGHT(O11,LEN(O11)-2))</f>
        <v/>
      </c>
      <c r="P69" s="7">
        <f>IF(LEN(P11)=1,"",RIGHT(P11,LEN(P11)-2))</f>
        <v/>
      </c>
      <c r="Q69" s="7">
        <f>IF(LEN(Q11)=1,"",RIGHT(Q11,LEN(Q11)-2))</f>
        <v/>
      </c>
      <c r="R69" s="7">
        <f>IF(LEN(R11)=1,"",RIGHT(R11,LEN(R11)-2))</f>
        <v/>
      </c>
      <c r="S69" s="7">
        <f>IF(LEN(S11)=1,"",RIGHT(S11,LEN(S11)-2))</f>
        <v/>
      </c>
      <c r="T69" s="7">
        <f>IF(LEN(T11)=1,"",RIGHT(T11,LEN(T11)-2))</f>
        <v/>
      </c>
      <c r="U69" s="7">
        <f>IF(LEN(U11)=1,"",RIGHT(U11,LEN(U11)-2))</f>
        <v/>
      </c>
      <c r="V69" s="7">
        <f>IF(LEN(V11)=1,"",RIGHT(V11,LEN(V11)-2))</f>
        <v/>
      </c>
      <c r="W69" s="7">
        <f>IF(LEN(W11)=1,"",RIGHT(W11,LEN(W11)-2))</f>
        <v/>
      </c>
      <c r="X69" s="7">
        <f>IF(LEN(X11)=1,"",RIGHT(X11,LEN(X11)-2))</f>
        <v/>
      </c>
      <c r="Y69" s="7">
        <f>IF(LEN(Y11)=1,"",RIGHT(Y11,LEN(Y11)-2))</f>
        <v/>
      </c>
      <c r="Z69" s="7">
        <f>IF(LEN(Z11)=1,"",RIGHT(Z11,LEN(Z11)-2))</f>
        <v/>
      </c>
      <c r="AA69" s="7">
        <f>IF(LEN(AA11)=1,"",RIGHT(AA11,LEN(AA11)-2))</f>
        <v/>
      </c>
      <c r="AB69" s="7">
        <f>IF(LEN(AB11)=1,"",RIGHT(AB11,LEN(AB11)-2))</f>
        <v/>
      </c>
      <c r="AC69" s="7">
        <f>IF(LEN(AC11)=1,"",RIGHT(AC11,LEN(AC11)-2))</f>
        <v/>
      </c>
      <c r="AD69" s="7">
        <f>IF(LEN(AD11)=1,"",RIGHT(AD11,LEN(AD11)-2))</f>
        <v/>
      </c>
      <c r="AE69" s="7">
        <f>IF(LEN(AE11)=1,"",RIGHT(AE11,LEN(AE11)-2))</f>
        <v/>
      </c>
      <c r="AF69" s="7">
        <f>IF(LEN(AF11)=1,"",RIGHT(AF11,LEN(AF11)-2))</f>
        <v/>
      </c>
      <c r="AG69" s="7">
        <f>IF(LEN(AG11)=1,"",RIGHT(AG11,LEN(AG11)-2))</f>
        <v/>
      </c>
    </row>
    <row r="70">
      <c r="A70" s="22" t="inlineStr">
        <is>
          <t>Staff 10</t>
        </is>
      </c>
      <c r="B70" s="26">
        <f t="array" ref="B70">IFERROR(IF(ROUNDUP(SUMPRODUCT(1/COUNTIF(C70:AG70,C70:AG70)),0)&lt;=2, "Passed", "Failed"),"Failed")</f>
        <v/>
      </c>
      <c r="C70" s="7">
        <f>IF(LEN(C12)=1,"",RIGHT(C12,LEN(C12)-2))</f>
        <v/>
      </c>
      <c r="D70" s="7">
        <f>IF(LEN(D12)=1,"",RIGHT(D12,LEN(D12)-2))</f>
        <v/>
      </c>
      <c r="E70" s="7">
        <f>IF(LEN(E12)=1,"",RIGHT(E12,LEN(E12)-2))</f>
        <v/>
      </c>
      <c r="F70" s="7">
        <f>IF(LEN(F12)=1,"",RIGHT(F12,LEN(F12)-2))</f>
        <v/>
      </c>
      <c r="G70" s="7">
        <f>IF(LEN(G12)=1,"",RIGHT(G12,LEN(G12)-2))</f>
        <v/>
      </c>
      <c r="H70" s="7">
        <f>IF(LEN(H12)=1,"",RIGHT(H12,LEN(H12)-2))</f>
        <v/>
      </c>
      <c r="I70" s="7">
        <f>IF(LEN(I12)=1,"",RIGHT(I12,LEN(I12)-2))</f>
        <v/>
      </c>
      <c r="J70" s="7">
        <f>IF(LEN(J12)=1,"",RIGHT(J12,LEN(J12)-2))</f>
        <v/>
      </c>
      <c r="K70" s="7">
        <f>IF(LEN(K12)=1,"",RIGHT(K12,LEN(K12)-2))</f>
        <v/>
      </c>
      <c r="L70" s="7">
        <f>IF(LEN(L12)=1,"",RIGHT(L12,LEN(L12)-2))</f>
        <v/>
      </c>
      <c r="M70" s="7">
        <f>IF(LEN(M12)=1,"",RIGHT(M12,LEN(M12)-2))</f>
        <v/>
      </c>
      <c r="N70" s="7">
        <f>IF(LEN(N12)=1,"",RIGHT(N12,LEN(N12)-2))</f>
        <v/>
      </c>
      <c r="O70" s="7">
        <f>IF(LEN(O12)=1,"",RIGHT(O12,LEN(O12)-2))</f>
        <v/>
      </c>
      <c r="P70" s="7">
        <f>IF(LEN(P12)=1,"",RIGHT(P12,LEN(P12)-2))</f>
        <v/>
      </c>
      <c r="Q70" s="7">
        <f>IF(LEN(Q12)=1,"",RIGHT(Q12,LEN(Q12)-2))</f>
        <v/>
      </c>
      <c r="R70" s="7">
        <f>IF(LEN(R12)=1,"",RIGHT(R12,LEN(R12)-2))</f>
        <v/>
      </c>
      <c r="S70" s="7">
        <f>IF(LEN(S12)=1,"",RIGHT(S12,LEN(S12)-2))</f>
        <v/>
      </c>
      <c r="T70" s="7">
        <f>IF(LEN(T12)=1,"",RIGHT(T12,LEN(T12)-2))</f>
        <v/>
      </c>
      <c r="U70" s="7">
        <f>IF(LEN(U12)=1,"",RIGHT(U12,LEN(U12)-2))</f>
        <v/>
      </c>
      <c r="V70" s="7">
        <f>IF(LEN(V12)=1,"",RIGHT(V12,LEN(V12)-2))</f>
        <v/>
      </c>
      <c r="W70" s="7">
        <f>IF(LEN(W12)=1,"",RIGHT(W12,LEN(W12)-2))</f>
        <v/>
      </c>
      <c r="X70" s="7">
        <f>IF(LEN(X12)=1,"",RIGHT(X12,LEN(X12)-2))</f>
        <v/>
      </c>
      <c r="Y70" s="7">
        <f>IF(LEN(Y12)=1,"",RIGHT(Y12,LEN(Y12)-2))</f>
        <v/>
      </c>
      <c r="Z70" s="7">
        <f>IF(LEN(Z12)=1,"",RIGHT(Z12,LEN(Z12)-2))</f>
        <v/>
      </c>
      <c r="AA70" s="7">
        <f>IF(LEN(AA12)=1,"",RIGHT(AA12,LEN(AA12)-2))</f>
        <v/>
      </c>
      <c r="AB70" s="7">
        <f>IF(LEN(AB12)=1,"",RIGHT(AB12,LEN(AB12)-2))</f>
        <v/>
      </c>
      <c r="AC70" s="7">
        <f>IF(LEN(AC12)=1,"",RIGHT(AC12,LEN(AC12)-2))</f>
        <v/>
      </c>
      <c r="AD70" s="7">
        <f>IF(LEN(AD12)=1,"",RIGHT(AD12,LEN(AD12)-2))</f>
        <v/>
      </c>
      <c r="AE70" s="7">
        <f>IF(LEN(AE12)=1,"",RIGHT(AE12,LEN(AE12)-2))</f>
        <v/>
      </c>
      <c r="AF70" s="7">
        <f>IF(LEN(AF12)=1,"",RIGHT(AF12,LEN(AF12)-2))</f>
        <v/>
      </c>
      <c r="AG70" s="7">
        <f>IF(LEN(AG12)=1,"",RIGHT(AG12,LEN(AG12)-2))</f>
        <v/>
      </c>
    </row>
    <row r="71">
      <c r="A71" s="22" t="inlineStr">
        <is>
          <t>Staff 11</t>
        </is>
      </c>
      <c r="B71" s="26">
        <f t="array" ref="B71">IFERROR(IF(ROUNDUP(SUMPRODUCT(1/COUNTIF(C71:AG71,C71:AG71)),0)&lt;=2, "Passed", "Failed"),"Failed")</f>
        <v/>
      </c>
      <c r="C71" s="7">
        <f>IF(LEN(C13)=1,"",RIGHT(C13,LEN(C13)-2))</f>
        <v/>
      </c>
      <c r="D71" s="7">
        <f>IF(LEN(D13)=1,"",RIGHT(D13,LEN(D13)-2))</f>
        <v/>
      </c>
      <c r="E71" s="7">
        <f>IF(LEN(E13)=1,"",RIGHT(E13,LEN(E13)-2))</f>
        <v/>
      </c>
      <c r="F71" s="7">
        <f>IF(LEN(F13)=1,"",RIGHT(F13,LEN(F13)-2))</f>
        <v/>
      </c>
      <c r="G71" s="7">
        <f>IF(LEN(G13)=1,"",RIGHT(G13,LEN(G13)-2))</f>
        <v/>
      </c>
      <c r="H71" s="7">
        <f>IF(LEN(H13)=1,"",RIGHT(H13,LEN(H13)-2))</f>
        <v/>
      </c>
      <c r="I71" s="7">
        <f>IF(LEN(I13)=1,"",RIGHT(I13,LEN(I13)-2))</f>
        <v/>
      </c>
      <c r="J71" s="7">
        <f>IF(LEN(J13)=1,"",RIGHT(J13,LEN(J13)-2))</f>
        <v/>
      </c>
      <c r="K71" s="7">
        <f>IF(LEN(K13)=1,"",RIGHT(K13,LEN(K13)-2))</f>
        <v/>
      </c>
      <c r="L71" s="7">
        <f>IF(LEN(L13)=1,"",RIGHT(L13,LEN(L13)-2))</f>
        <v/>
      </c>
      <c r="M71" s="7">
        <f>IF(LEN(M13)=1,"",RIGHT(M13,LEN(M13)-2))</f>
        <v/>
      </c>
      <c r="N71" s="7">
        <f>IF(LEN(N13)=1,"",RIGHT(N13,LEN(N13)-2))</f>
        <v/>
      </c>
      <c r="O71" s="7">
        <f>IF(LEN(O13)=1,"",RIGHT(O13,LEN(O13)-2))</f>
        <v/>
      </c>
      <c r="P71" s="7">
        <f>IF(LEN(P13)=1,"",RIGHT(P13,LEN(P13)-2))</f>
        <v/>
      </c>
      <c r="Q71" s="7">
        <f>IF(LEN(Q13)=1,"",RIGHT(Q13,LEN(Q13)-2))</f>
        <v/>
      </c>
      <c r="R71" s="7">
        <f>IF(LEN(R13)=1,"",RIGHT(R13,LEN(R13)-2))</f>
        <v/>
      </c>
      <c r="S71" s="7">
        <f>IF(LEN(S13)=1,"",RIGHT(S13,LEN(S13)-2))</f>
        <v/>
      </c>
      <c r="T71" s="7">
        <f>IF(LEN(T13)=1,"",RIGHT(T13,LEN(T13)-2))</f>
        <v/>
      </c>
      <c r="U71" s="7">
        <f>IF(LEN(U13)=1,"",RIGHT(U13,LEN(U13)-2))</f>
        <v/>
      </c>
      <c r="V71" s="7">
        <f>IF(LEN(V13)=1,"",RIGHT(V13,LEN(V13)-2))</f>
        <v/>
      </c>
      <c r="W71" s="7">
        <f>IF(LEN(W13)=1,"",RIGHT(W13,LEN(W13)-2))</f>
        <v/>
      </c>
      <c r="X71" s="7">
        <f>IF(LEN(X13)=1,"",RIGHT(X13,LEN(X13)-2))</f>
        <v/>
      </c>
      <c r="Y71" s="7">
        <f>IF(LEN(Y13)=1,"",RIGHT(Y13,LEN(Y13)-2))</f>
        <v/>
      </c>
      <c r="Z71" s="7">
        <f>IF(LEN(Z13)=1,"",RIGHT(Z13,LEN(Z13)-2))</f>
        <v/>
      </c>
      <c r="AA71" s="7">
        <f>IF(LEN(AA13)=1,"",RIGHT(AA13,LEN(AA13)-2))</f>
        <v/>
      </c>
      <c r="AB71" s="7">
        <f>IF(LEN(AB13)=1,"",RIGHT(AB13,LEN(AB13)-2))</f>
        <v/>
      </c>
      <c r="AC71" s="7">
        <f>IF(LEN(AC13)=1,"",RIGHT(AC13,LEN(AC13)-2))</f>
        <v/>
      </c>
      <c r="AD71" s="7">
        <f>IF(LEN(AD13)=1,"",RIGHT(AD13,LEN(AD13)-2))</f>
        <v/>
      </c>
      <c r="AE71" s="7">
        <f>IF(LEN(AE13)=1,"",RIGHT(AE13,LEN(AE13)-2))</f>
        <v/>
      </c>
      <c r="AF71" s="7">
        <f>IF(LEN(AF13)=1,"",RIGHT(AF13,LEN(AF13)-2))</f>
        <v/>
      </c>
      <c r="AG71" s="7">
        <f>IF(LEN(AG13)=1,"",RIGHT(AG13,LEN(AG13)-2))</f>
        <v/>
      </c>
    </row>
    <row r="72">
      <c r="A72" s="22" t="inlineStr">
        <is>
          <t>Staff 12</t>
        </is>
      </c>
      <c r="B72" s="26">
        <f t="array" ref="B72">IFERROR(IF(ROUNDUP(SUMPRODUCT(1/COUNTIF(C72:AG72,C72:AG72)),0)&lt;=2, "Passed", "Failed"),"Failed")</f>
        <v/>
      </c>
      <c r="C72" s="7">
        <f>IF(LEN(C14)=1,"",RIGHT(C14,LEN(C14)-2))</f>
        <v/>
      </c>
      <c r="D72" s="7">
        <f>IF(LEN(D14)=1,"",RIGHT(D14,LEN(D14)-2))</f>
        <v/>
      </c>
      <c r="E72" s="7">
        <f>IF(LEN(E14)=1,"",RIGHT(E14,LEN(E14)-2))</f>
        <v/>
      </c>
      <c r="F72" s="7">
        <f>IF(LEN(F14)=1,"",RIGHT(F14,LEN(F14)-2))</f>
        <v/>
      </c>
      <c r="G72" s="7">
        <f>IF(LEN(G14)=1,"",RIGHT(G14,LEN(G14)-2))</f>
        <v/>
      </c>
      <c r="H72" s="7">
        <f>IF(LEN(H14)=1,"",RIGHT(H14,LEN(H14)-2))</f>
        <v/>
      </c>
      <c r="I72" s="7">
        <f>IF(LEN(I14)=1,"",RIGHT(I14,LEN(I14)-2))</f>
        <v/>
      </c>
      <c r="J72" s="7">
        <f>IF(LEN(J14)=1,"",RIGHT(J14,LEN(J14)-2))</f>
        <v/>
      </c>
      <c r="K72" s="7">
        <f>IF(LEN(K14)=1,"",RIGHT(K14,LEN(K14)-2))</f>
        <v/>
      </c>
      <c r="L72" s="7">
        <f>IF(LEN(L14)=1,"",RIGHT(L14,LEN(L14)-2))</f>
        <v/>
      </c>
      <c r="M72" s="7">
        <f>IF(LEN(M14)=1,"",RIGHT(M14,LEN(M14)-2))</f>
        <v/>
      </c>
      <c r="N72" s="7">
        <f>IF(LEN(N14)=1,"",RIGHT(N14,LEN(N14)-2))</f>
        <v/>
      </c>
      <c r="O72" s="7">
        <f>IF(LEN(O14)=1,"",RIGHT(O14,LEN(O14)-2))</f>
        <v/>
      </c>
      <c r="P72" s="7">
        <f>IF(LEN(P14)=1,"",RIGHT(P14,LEN(P14)-2))</f>
        <v/>
      </c>
      <c r="Q72" s="7">
        <f>IF(LEN(Q14)=1,"",RIGHT(Q14,LEN(Q14)-2))</f>
        <v/>
      </c>
      <c r="R72" s="7">
        <f>IF(LEN(R14)=1,"",RIGHT(R14,LEN(R14)-2))</f>
        <v/>
      </c>
      <c r="S72" s="7">
        <f>IF(LEN(S14)=1,"",RIGHT(S14,LEN(S14)-2))</f>
        <v/>
      </c>
      <c r="T72" s="7">
        <f>IF(LEN(T14)=1,"",RIGHT(T14,LEN(T14)-2))</f>
        <v/>
      </c>
      <c r="U72" s="7">
        <f>IF(LEN(U14)=1,"",RIGHT(U14,LEN(U14)-2))</f>
        <v/>
      </c>
      <c r="V72" s="7">
        <f>IF(LEN(V14)=1,"",RIGHT(V14,LEN(V14)-2))</f>
        <v/>
      </c>
      <c r="W72" s="7">
        <f>IF(LEN(W14)=1,"",RIGHT(W14,LEN(W14)-2))</f>
        <v/>
      </c>
      <c r="X72" s="7">
        <f>IF(LEN(X14)=1,"",RIGHT(X14,LEN(X14)-2))</f>
        <v/>
      </c>
      <c r="Y72" s="7">
        <f>IF(LEN(Y14)=1,"",RIGHT(Y14,LEN(Y14)-2))</f>
        <v/>
      </c>
      <c r="Z72" s="7">
        <f>IF(LEN(Z14)=1,"",RIGHT(Z14,LEN(Z14)-2))</f>
        <v/>
      </c>
      <c r="AA72" s="7">
        <f>IF(LEN(AA14)=1,"",RIGHT(AA14,LEN(AA14)-2))</f>
        <v/>
      </c>
      <c r="AB72" s="7">
        <f>IF(LEN(AB14)=1,"",RIGHT(AB14,LEN(AB14)-2))</f>
        <v/>
      </c>
      <c r="AC72" s="7">
        <f>IF(LEN(AC14)=1,"",RIGHT(AC14,LEN(AC14)-2))</f>
        <v/>
      </c>
      <c r="AD72" s="7">
        <f>IF(LEN(AD14)=1,"",RIGHT(AD14,LEN(AD14)-2))</f>
        <v/>
      </c>
      <c r="AE72" s="7">
        <f>IF(LEN(AE14)=1,"",RIGHT(AE14,LEN(AE14)-2))</f>
        <v/>
      </c>
      <c r="AF72" s="7">
        <f>IF(LEN(AF14)=1,"",RIGHT(AF14,LEN(AF14)-2))</f>
        <v/>
      </c>
      <c r="AG72" s="7">
        <f>IF(LEN(AG14)=1,"",RIGHT(AG14,LEN(AG14)-2))</f>
        <v/>
      </c>
    </row>
    <row r="73">
      <c r="A73" s="22" t="inlineStr">
        <is>
          <t>Staff 13</t>
        </is>
      </c>
      <c r="B73" s="26">
        <f t="array" ref="B73">IFERROR(IF(ROUNDUP(SUMPRODUCT(1/COUNTIF(C73:AG73,C73:AG73)),0)&lt;=2, "Passed", "Failed"),"Failed")</f>
        <v/>
      </c>
      <c r="C73" s="7">
        <f>IF(LEN(C15)=1,"",RIGHT(C15,LEN(C15)-2))</f>
        <v/>
      </c>
      <c r="D73" s="7">
        <f>IF(LEN(D15)=1,"",RIGHT(D15,LEN(D15)-2))</f>
        <v/>
      </c>
      <c r="E73" s="7">
        <f>IF(LEN(E15)=1,"",RIGHT(E15,LEN(E15)-2))</f>
        <v/>
      </c>
      <c r="F73" s="7">
        <f>IF(LEN(F15)=1,"",RIGHT(F15,LEN(F15)-2))</f>
        <v/>
      </c>
      <c r="G73" s="7">
        <f>IF(LEN(G15)=1,"",RIGHT(G15,LEN(G15)-2))</f>
        <v/>
      </c>
      <c r="H73" s="7">
        <f>IF(LEN(H15)=1,"",RIGHT(H15,LEN(H15)-2))</f>
        <v/>
      </c>
      <c r="I73" s="7">
        <f>IF(LEN(I15)=1,"",RIGHT(I15,LEN(I15)-2))</f>
        <v/>
      </c>
      <c r="J73" s="7">
        <f>IF(LEN(J15)=1,"",RIGHT(J15,LEN(J15)-2))</f>
        <v/>
      </c>
      <c r="K73" s="7">
        <f>IF(LEN(K15)=1,"",RIGHT(K15,LEN(K15)-2))</f>
        <v/>
      </c>
      <c r="L73" s="7">
        <f>IF(LEN(L15)=1,"",RIGHT(L15,LEN(L15)-2))</f>
        <v/>
      </c>
      <c r="M73" s="7">
        <f>IF(LEN(M15)=1,"",RIGHT(M15,LEN(M15)-2))</f>
        <v/>
      </c>
      <c r="N73" s="7">
        <f>IF(LEN(N15)=1,"",RIGHT(N15,LEN(N15)-2))</f>
        <v/>
      </c>
      <c r="O73" s="7">
        <f>IF(LEN(O15)=1,"",RIGHT(O15,LEN(O15)-2))</f>
        <v/>
      </c>
      <c r="P73" s="7">
        <f>IF(LEN(P15)=1,"",RIGHT(P15,LEN(P15)-2))</f>
        <v/>
      </c>
      <c r="Q73" s="7">
        <f>IF(LEN(Q15)=1,"",RIGHT(Q15,LEN(Q15)-2))</f>
        <v/>
      </c>
      <c r="R73" s="7">
        <f>IF(LEN(R15)=1,"",RIGHT(R15,LEN(R15)-2))</f>
        <v/>
      </c>
      <c r="S73" s="7">
        <f>IF(LEN(S15)=1,"",RIGHT(S15,LEN(S15)-2))</f>
        <v/>
      </c>
      <c r="T73" s="7">
        <f>IF(LEN(T15)=1,"",RIGHT(T15,LEN(T15)-2))</f>
        <v/>
      </c>
      <c r="U73" s="7">
        <f>IF(LEN(U15)=1,"",RIGHT(U15,LEN(U15)-2))</f>
        <v/>
      </c>
      <c r="V73" s="7">
        <f>IF(LEN(V15)=1,"",RIGHT(V15,LEN(V15)-2))</f>
        <v/>
      </c>
      <c r="W73" s="7">
        <f>IF(LEN(W15)=1,"",RIGHT(W15,LEN(W15)-2))</f>
        <v/>
      </c>
      <c r="X73" s="7">
        <f>IF(LEN(X15)=1,"",RIGHT(X15,LEN(X15)-2))</f>
        <v/>
      </c>
      <c r="Y73" s="7">
        <f>IF(LEN(Y15)=1,"",RIGHT(Y15,LEN(Y15)-2))</f>
        <v/>
      </c>
      <c r="Z73" s="7">
        <f>IF(LEN(Z15)=1,"",RIGHT(Z15,LEN(Z15)-2))</f>
        <v/>
      </c>
      <c r="AA73" s="7">
        <f>IF(LEN(AA15)=1,"",RIGHT(AA15,LEN(AA15)-2))</f>
        <v/>
      </c>
      <c r="AB73" s="7">
        <f>IF(LEN(AB15)=1,"",RIGHT(AB15,LEN(AB15)-2))</f>
        <v/>
      </c>
      <c r="AC73" s="7">
        <f>IF(LEN(AC15)=1,"",RIGHT(AC15,LEN(AC15)-2))</f>
        <v/>
      </c>
      <c r="AD73" s="7">
        <f>IF(LEN(AD15)=1,"",RIGHT(AD15,LEN(AD15)-2))</f>
        <v/>
      </c>
      <c r="AE73" s="7">
        <f>IF(LEN(AE15)=1,"",RIGHT(AE15,LEN(AE15)-2))</f>
        <v/>
      </c>
      <c r="AF73" s="7">
        <f>IF(LEN(AF15)=1,"",RIGHT(AF15,LEN(AF15)-2))</f>
        <v/>
      </c>
      <c r="AG73" s="7">
        <f>IF(LEN(AG15)=1,"",RIGHT(AG15,LEN(AG15)-2))</f>
        <v/>
      </c>
    </row>
    <row r="74">
      <c r="A74" s="22" t="inlineStr">
        <is>
          <t>Staff 14</t>
        </is>
      </c>
      <c r="B74" s="26">
        <f t="array" ref="B74">IFERROR(IF(ROUNDUP(SUMPRODUCT(1/COUNTIF(C74:AG74,C74:AG74)),0)&lt;=2, "Passed", "Failed"),"Failed")</f>
        <v/>
      </c>
      <c r="C74" s="7">
        <f>IF(LEN(C16)=1,"",RIGHT(C16,LEN(C16)-2))</f>
        <v/>
      </c>
      <c r="D74" s="7">
        <f>IF(LEN(D16)=1,"",RIGHT(D16,LEN(D16)-2))</f>
        <v/>
      </c>
      <c r="E74" s="7">
        <f>IF(LEN(E16)=1,"",RIGHT(E16,LEN(E16)-2))</f>
        <v/>
      </c>
      <c r="F74" s="7">
        <f>IF(LEN(F16)=1,"",RIGHT(F16,LEN(F16)-2))</f>
        <v/>
      </c>
      <c r="G74" s="7">
        <f>IF(LEN(G16)=1,"",RIGHT(G16,LEN(G16)-2))</f>
        <v/>
      </c>
      <c r="H74" s="7">
        <f>IF(LEN(H16)=1,"",RIGHT(H16,LEN(H16)-2))</f>
        <v/>
      </c>
      <c r="I74" s="7">
        <f>IF(LEN(I16)=1,"",RIGHT(I16,LEN(I16)-2))</f>
        <v/>
      </c>
      <c r="J74" s="7">
        <f>IF(LEN(J16)=1,"",RIGHT(J16,LEN(J16)-2))</f>
        <v/>
      </c>
      <c r="K74" s="7">
        <f>IF(LEN(K16)=1,"",RIGHT(K16,LEN(K16)-2))</f>
        <v/>
      </c>
      <c r="L74" s="7">
        <f>IF(LEN(L16)=1,"",RIGHT(L16,LEN(L16)-2))</f>
        <v/>
      </c>
      <c r="M74" s="7">
        <f>IF(LEN(M16)=1,"",RIGHT(M16,LEN(M16)-2))</f>
        <v/>
      </c>
      <c r="N74" s="7">
        <f>IF(LEN(N16)=1,"",RIGHT(N16,LEN(N16)-2))</f>
        <v/>
      </c>
      <c r="O74" s="7">
        <f>IF(LEN(O16)=1,"",RIGHT(O16,LEN(O16)-2))</f>
        <v/>
      </c>
      <c r="P74" s="7">
        <f>IF(LEN(P16)=1,"",RIGHT(P16,LEN(P16)-2))</f>
        <v/>
      </c>
      <c r="Q74" s="7">
        <f>IF(LEN(Q16)=1,"",RIGHT(Q16,LEN(Q16)-2))</f>
        <v/>
      </c>
      <c r="R74" s="7">
        <f>IF(LEN(R16)=1,"",RIGHT(R16,LEN(R16)-2))</f>
        <v/>
      </c>
      <c r="S74" s="7">
        <f>IF(LEN(S16)=1,"",RIGHT(S16,LEN(S16)-2))</f>
        <v/>
      </c>
      <c r="T74" s="7">
        <f>IF(LEN(T16)=1,"",RIGHT(T16,LEN(T16)-2))</f>
        <v/>
      </c>
      <c r="U74" s="7">
        <f>IF(LEN(U16)=1,"",RIGHT(U16,LEN(U16)-2))</f>
        <v/>
      </c>
      <c r="V74" s="7">
        <f>IF(LEN(V16)=1,"",RIGHT(V16,LEN(V16)-2))</f>
        <v/>
      </c>
      <c r="W74" s="7">
        <f>IF(LEN(W16)=1,"",RIGHT(W16,LEN(W16)-2))</f>
        <v/>
      </c>
      <c r="X74" s="7">
        <f>IF(LEN(X16)=1,"",RIGHT(X16,LEN(X16)-2))</f>
        <v/>
      </c>
      <c r="Y74" s="7">
        <f>IF(LEN(Y16)=1,"",RIGHT(Y16,LEN(Y16)-2))</f>
        <v/>
      </c>
      <c r="Z74" s="7">
        <f>IF(LEN(Z16)=1,"",RIGHT(Z16,LEN(Z16)-2))</f>
        <v/>
      </c>
      <c r="AA74" s="7">
        <f>IF(LEN(AA16)=1,"",RIGHT(AA16,LEN(AA16)-2))</f>
        <v/>
      </c>
      <c r="AB74" s="7">
        <f>IF(LEN(AB16)=1,"",RIGHT(AB16,LEN(AB16)-2))</f>
        <v/>
      </c>
      <c r="AC74" s="7">
        <f>IF(LEN(AC16)=1,"",RIGHT(AC16,LEN(AC16)-2))</f>
        <v/>
      </c>
      <c r="AD74" s="7">
        <f>IF(LEN(AD16)=1,"",RIGHT(AD16,LEN(AD16)-2))</f>
        <v/>
      </c>
      <c r="AE74" s="7">
        <f>IF(LEN(AE16)=1,"",RIGHT(AE16,LEN(AE16)-2))</f>
        <v/>
      </c>
      <c r="AF74" s="7">
        <f>IF(LEN(AF16)=1,"",RIGHT(AF16,LEN(AF16)-2))</f>
        <v/>
      </c>
      <c r="AG74" s="7">
        <f>IF(LEN(AG16)=1,"",RIGHT(AG16,LEN(AG16)-2))</f>
        <v/>
      </c>
    </row>
    <row r="75">
      <c r="A75" s="22" t="inlineStr">
        <is>
          <t>Staff 15</t>
        </is>
      </c>
      <c r="B75" s="26">
        <f t="array" ref="B75">IFERROR(IF(ROUNDUP(SUMPRODUCT(1/COUNTIF(C75:AG75,C75:AG75)),0)&lt;=2, "Passed", "Failed"),"Failed")</f>
        <v/>
      </c>
      <c r="C75" s="7">
        <f>IF(LEN(C17)=1,"",RIGHT(C17,LEN(C17)-2))</f>
        <v/>
      </c>
      <c r="D75" s="7">
        <f>IF(LEN(D17)=1,"",RIGHT(D17,LEN(D17)-2))</f>
        <v/>
      </c>
      <c r="E75" s="7">
        <f>IF(LEN(E17)=1,"",RIGHT(E17,LEN(E17)-2))</f>
        <v/>
      </c>
      <c r="F75" s="7">
        <f>IF(LEN(F17)=1,"",RIGHT(F17,LEN(F17)-2))</f>
        <v/>
      </c>
      <c r="G75" s="7">
        <f>IF(LEN(G17)=1,"",RIGHT(G17,LEN(G17)-2))</f>
        <v/>
      </c>
      <c r="H75" s="7">
        <f>IF(LEN(H17)=1,"",RIGHT(H17,LEN(H17)-2))</f>
        <v/>
      </c>
      <c r="I75" s="7">
        <f>IF(LEN(I17)=1,"",RIGHT(I17,LEN(I17)-2))</f>
        <v/>
      </c>
      <c r="J75" s="7">
        <f>IF(LEN(J17)=1,"",RIGHT(J17,LEN(J17)-2))</f>
        <v/>
      </c>
      <c r="K75" s="7">
        <f>IF(LEN(K17)=1,"",RIGHT(K17,LEN(K17)-2))</f>
        <v/>
      </c>
      <c r="L75" s="7">
        <f>IF(LEN(L17)=1,"",RIGHT(L17,LEN(L17)-2))</f>
        <v/>
      </c>
      <c r="M75" s="7">
        <f>IF(LEN(M17)=1,"",RIGHT(M17,LEN(M17)-2))</f>
        <v/>
      </c>
      <c r="N75" s="7">
        <f>IF(LEN(N17)=1,"",RIGHT(N17,LEN(N17)-2))</f>
        <v/>
      </c>
      <c r="O75" s="7">
        <f>IF(LEN(O17)=1,"",RIGHT(O17,LEN(O17)-2))</f>
        <v/>
      </c>
      <c r="P75" s="7">
        <f>IF(LEN(P17)=1,"",RIGHT(P17,LEN(P17)-2))</f>
        <v/>
      </c>
      <c r="Q75" s="7">
        <f>IF(LEN(Q17)=1,"",RIGHT(Q17,LEN(Q17)-2))</f>
        <v/>
      </c>
      <c r="R75" s="7">
        <f>IF(LEN(R17)=1,"",RIGHT(R17,LEN(R17)-2))</f>
        <v/>
      </c>
      <c r="S75" s="7">
        <f>IF(LEN(S17)=1,"",RIGHT(S17,LEN(S17)-2))</f>
        <v/>
      </c>
      <c r="T75" s="7">
        <f>IF(LEN(T17)=1,"",RIGHT(T17,LEN(T17)-2))</f>
        <v/>
      </c>
      <c r="U75" s="7">
        <f>IF(LEN(U17)=1,"",RIGHT(U17,LEN(U17)-2))</f>
        <v/>
      </c>
      <c r="V75" s="7">
        <f>IF(LEN(V17)=1,"",RIGHT(V17,LEN(V17)-2))</f>
        <v/>
      </c>
      <c r="W75" s="7">
        <f>IF(LEN(W17)=1,"",RIGHT(W17,LEN(W17)-2))</f>
        <v/>
      </c>
      <c r="X75" s="7">
        <f>IF(LEN(X17)=1,"",RIGHT(X17,LEN(X17)-2))</f>
        <v/>
      </c>
      <c r="Y75" s="7">
        <f>IF(LEN(Y17)=1,"",RIGHT(Y17,LEN(Y17)-2))</f>
        <v/>
      </c>
      <c r="Z75" s="7">
        <f>IF(LEN(Z17)=1,"",RIGHT(Z17,LEN(Z17)-2))</f>
        <v/>
      </c>
      <c r="AA75" s="7">
        <f>IF(LEN(AA17)=1,"",RIGHT(AA17,LEN(AA17)-2))</f>
        <v/>
      </c>
      <c r="AB75" s="7">
        <f>IF(LEN(AB17)=1,"",RIGHT(AB17,LEN(AB17)-2))</f>
        <v/>
      </c>
      <c r="AC75" s="7">
        <f>IF(LEN(AC17)=1,"",RIGHT(AC17,LEN(AC17)-2))</f>
        <v/>
      </c>
      <c r="AD75" s="7">
        <f>IF(LEN(AD17)=1,"",RIGHT(AD17,LEN(AD17)-2))</f>
        <v/>
      </c>
      <c r="AE75" s="7">
        <f>IF(LEN(AE17)=1,"",RIGHT(AE17,LEN(AE17)-2))</f>
        <v/>
      </c>
      <c r="AF75" s="7">
        <f>IF(LEN(AF17)=1,"",RIGHT(AF17,LEN(AF17)-2))</f>
        <v/>
      </c>
      <c r="AG75" s="7">
        <f>IF(LEN(AG17)=1,"",RIGHT(AG17,LEN(AG17)-2))</f>
        <v/>
      </c>
    </row>
    <row r="76">
      <c r="A76" s="22" t="inlineStr">
        <is>
          <t>Staff 16</t>
        </is>
      </c>
      <c r="B76" s="26">
        <f t="array" ref="B76">IFERROR(IF(ROUNDUP(SUMPRODUCT(1/COUNTIF(C76:AG76,C76:AG76)),0)&lt;=2, "Passed", "Failed"),"Failed")</f>
        <v/>
      </c>
      <c r="C76" s="7">
        <f>IF(LEN(C18)=1,"",RIGHT(C18,LEN(C18)-2))</f>
        <v/>
      </c>
      <c r="D76" s="7">
        <f>IF(LEN(D18)=1,"",RIGHT(D18,LEN(D18)-2))</f>
        <v/>
      </c>
      <c r="E76" s="7">
        <f>IF(LEN(E18)=1,"",RIGHT(E18,LEN(E18)-2))</f>
        <v/>
      </c>
      <c r="F76" s="7">
        <f>IF(LEN(F18)=1,"",RIGHT(F18,LEN(F18)-2))</f>
        <v/>
      </c>
      <c r="G76" s="7">
        <f>IF(LEN(G18)=1,"",RIGHT(G18,LEN(G18)-2))</f>
        <v/>
      </c>
      <c r="H76" s="7">
        <f>IF(LEN(H18)=1,"",RIGHT(H18,LEN(H18)-2))</f>
        <v/>
      </c>
      <c r="I76" s="7">
        <f>IF(LEN(I18)=1,"",RIGHT(I18,LEN(I18)-2))</f>
        <v/>
      </c>
      <c r="J76" s="7">
        <f>IF(LEN(J18)=1,"",RIGHT(J18,LEN(J18)-2))</f>
        <v/>
      </c>
      <c r="K76" s="7">
        <f>IF(LEN(K18)=1,"",RIGHT(K18,LEN(K18)-2))</f>
        <v/>
      </c>
      <c r="L76" s="7">
        <f>IF(LEN(L18)=1,"",RIGHT(L18,LEN(L18)-2))</f>
        <v/>
      </c>
      <c r="M76" s="7">
        <f>IF(LEN(M18)=1,"",RIGHT(M18,LEN(M18)-2))</f>
        <v/>
      </c>
      <c r="N76" s="7">
        <f>IF(LEN(N18)=1,"",RIGHT(N18,LEN(N18)-2))</f>
        <v/>
      </c>
      <c r="O76" s="7">
        <f>IF(LEN(O18)=1,"",RIGHT(O18,LEN(O18)-2))</f>
        <v/>
      </c>
      <c r="P76" s="7">
        <f>IF(LEN(P18)=1,"",RIGHT(P18,LEN(P18)-2))</f>
        <v/>
      </c>
      <c r="Q76" s="7">
        <f>IF(LEN(Q18)=1,"",RIGHT(Q18,LEN(Q18)-2))</f>
        <v/>
      </c>
      <c r="R76" s="7">
        <f>IF(LEN(R18)=1,"",RIGHT(R18,LEN(R18)-2))</f>
        <v/>
      </c>
      <c r="S76" s="7">
        <f>IF(LEN(S18)=1,"",RIGHT(S18,LEN(S18)-2))</f>
        <v/>
      </c>
      <c r="T76" s="7">
        <f>IF(LEN(T18)=1,"",RIGHT(T18,LEN(T18)-2))</f>
        <v/>
      </c>
      <c r="U76" s="7">
        <f>IF(LEN(U18)=1,"",RIGHT(U18,LEN(U18)-2))</f>
        <v/>
      </c>
      <c r="V76" s="7">
        <f>IF(LEN(V18)=1,"",RIGHT(V18,LEN(V18)-2))</f>
        <v/>
      </c>
      <c r="W76" s="7">
        <f>IF(LEN(W18)=1,"",RIGHT(W18,LEN(W18)-2))</f>
        <v/>
      </c>
      <c r="X76" s="7">
        <f>IF(LEN(X18)=1,"",RIGHT(X18,LEN(X18)-2))</f>
        <v/>
      </c>
      <c r="Y76" s="7">
        <f>IF(LEN(Y18)=1,"",RIGHT(Y18,LEN(Y18)-2))</f>
        <v/>
      </c>
      <c r="Z76" s="7">
        <f>IF(LEN(Z18)=1,"",RIGHT(Z18,LEN(Z18)-2))</f>
        <v/>
      </c>
      <c r="AA76" s="7">
        <f>IF(LEN(AA18)=1,"",RIGHT(AA18,LEN(AA18)-2))</f>
        <v/>
      </c>
      <c r="AB76" s="7">
        <f>IF(LEN(AB18)=1,"",RIGHT(AB18,LEN(AB18)-2))</f>
        <v/>
      </c>
      <c r="AC76" s="7">
        <f>IF(LEN(AC18)=1,"",RIGHT(AC18,LEN(AC18)-2))</f>
        <v/>
      </c>
      <c r="AD76" s="7">
        <f>IF(LEN(AD18)=1,"",RIGHT(AD18,LEN(AD18)-2))</f>
        <v/>
      </c>
      <c r="AE76" s="7">
        <f>IF(LEN(AE18)=1,"",RIGHT(AE18,LEN(AE18)-2))</f>
        <v/>
      </c>
      <c r="AF76" s="7">
        <f>IF(LEN(AF18)=1,"",RIGHT(AF18,LEN(AF18)-2))</f>
        <v/>
      </c>
      <c r="AG76" s="7">
        <f>IF(LEN(AG18)=1,"",RIGHT(AG18,LEN(AG18)-2))</f>
        <v/>
      </c>
    </row>
    <row r="77">
      <c r="A77" s="22" t="inlineStr">
        <is>
          <t>Staff 17</t>
        </is>
      </c>
      <c r="B77" s="26">
        <f t="array" ref="B77">IFERROR(IF(ROUNDUP(SUMPRODUCT(1/COUNTIF(C77:AG77,C77:AG77)),0)&lt;=2, "Passed", "Failed"),"Failed")</f>
        <v/>
      </c>
      <c r="C77" s="7">
        <f>IF(LEN(C19)=1,"",RIGHT(C19,LEN(C19)-2))</f>
        <v/>
      </c>
      <c r="D77" s="7">
        <f>IF(LEN(D19)=1,"",RIGHT(D19,LEN(D19)-2))</f>
        <v/>
      </c>
      <c r="E77" s="7">
        <f>IF(LEN(E19)=1,"",RIGHT(E19,LEN(E19)-2))</f>
        <v/>
      </c>
      <c r="F77" s="7">
        <f>IF(LEN(F19)=1,"",RIGHT(F19,LEN(F19)-2))</f>
        <v/>
      </c>
      <c r="G77" s="7">
        <f>IF(LEN(G19)=1,"",RIGHT(G19,LEN(G19)-2))</f>
        <v/>
      </c>
      <c r="H77" s="7">
        <f>IF(LEN(H19)=1,"",RIGHT(H19,LEN(H19)-2))</f>
        <v/>
      </c>
      <c r="I77" s="7">
        <f>IF(LEN(I19)=1,"",RIGHT(I19,LEN(I19)-2))</f>
        <v/>
      </c>
      <c r="J77" s="7">
        <f>IF(LEN(J19)=1,"",RIGHT(J19,LEN(J19)-2))</f>
        <v/>
      </c>
      <c r="K77" s="7">
        <f>IF(LEN(K19)=1,"",RIGHT(K19,LEN(K19)-2))</f>
        <v/>
      </c>
      <c r="L77" s="7">
        <f>IF(LEN(L19)=1,"",RIGHT(L19,LEN(L19)-2))</f>
        <v/>
      </c>
      <c r="M77" s="7">
        <f>IF(LEN(M19)=1,"",RIGHT(M19,LEN(M19)-2))</f>
        <v/>
      </c>
      <c r="N77" s="7">
        <f>IF(LEN(N19)=1,"",RIGHT(N19,LEN(N19)-2))</f>
        <v/>
      </c>
      <c r="O77" s="7">
        <f>IF(LEN(O19)=1,"",RIGHT(O19,LEN(O19)-2))</f>
        <v/>
      </c>
      <c r="P77" s="7">
        <f>IF(LEN(P19)=1,"",RIGHT(P19,LEN(P19)-2))</f>
        <v/>
      </c>
      <c r="Q77" s="7">
        <f>IF(LEN(Q19)=1,"",RIGHT(Q19,LEN(Q19)-2))</f>
        <v/>
      </c>
      <c r="R77" s="7">
        <f>IF(LEN(R19)=1,"",RIGHT(R19,LEN(R19)-2))</f>
        <v/>
      </c>
      <c r="S77" s="7">
        <f>IF(LEN(S19)=1,"",RIGHT(S19,LEN(S19)-2))</f>
        <v/>
      </c>
      <c r="T77" s="7">
        <f>IF(LEN(T19)=1,"",RIGHT(T19,LEN(T19)-2))</f>
        <v/>
      </c>
      <c r="U77" s="7">
        <f>IF(LEN(U19)=1,"",RIGHT(U19,LEN(U19)-2))</f>
        <v/>
      </c>
      <c r="V77" s="7">
        <f>IF(LEN(V19)=1,"",RIGHT(V19,LEN(V19)-2))</f>
        <v/>
      </c>
      <c r="W77" s="7">
        <f>IF(LEN(W19)=1,"",RIGHT(W19,LEN(W19)-2))</f>
        <v/>
      </c>
      <c r="X77" s="7">
        <f>IF(LEN(X19)=1,"",RIGHT(X19,LEN(X19)-2))</f>
        <v/>
      </c>
      <c r="Y77" s="7">
        <f>IF(LEN(Y19)=1,"",RIGHT(Y19,LEN(Y19)-2))</f>
        <v/>
      </c>
      <c r="Z77" s="7">
        <f>IF(LEN(Z19)=1,"",RIGHT(Z19,LEN(Z19)-2))</f>
        <v/>
      </c>
      <c r="AA77" s="7">
        <f>IF(LEN(AA19)=1,"",RIGHT(AA19,LEN(AA19)-2))</f>
        <v/>
      </c>
      <c r="AB77" s="7">
        <f>IF(LEN(AB19)=1,"",RIGHT(AB19,LEN(AB19)-2))</f>
        <v/>
      </c>
      <c r="AC77" s="7">
        <f>IF(LEN(AC19)=1,"",RIGHT(AC19,LEN(AC19)-2))</f>
        <v/>
      </c>
      <c r="AD77" s="7">
        <f>IF(LEN(AD19)=1,"",RIGHT(AD19,LEN(AD19)-2))</f>
        <v/>
      </c>
      <c r="AE77" s="7">
        <f>IF(LEN(AE19)=1,"",RIGHT(AE19,LEN(AE19)-2))</f>
        <v/>
      </c>
      <c r="AF77" s="7">
        <f>IF(LEN(AF19)=1,"",RIGHT(AF19,LEN(AF19)-2))</f>
        <v/>
      </c>
      <c r="AG77" s="7">
        <f>IF(LEN(AG19)=1,"",RIGHT(AG19,LEN(AG19)-2))</f>
        <v/>
      </c>
    </row>
    <row r="78">
      <c r="A78" s="22" t="inlineStr">
        <is>
          <t>Staff 18</t>
        </is>
      </c>
      <c r="B78" s="26">
        <f t="array" ref="B78">IFERROR(IF(ROUNDUP(SUMPRODUCT(1/COUNTIF(C78:AG78,C78:AG78)),0)&lt;=2, "Passed", "Failed"),"Failed")</f>
        <v/>
      </c>
      <c r="C78" s="7">
        <f>IF(LEN(C20)=1,"",RIGHT(C20,LEN(C20)-2))</f>
        <v/>
      </c>
      <c r="D78" s="7">
        <f>IF(LEN(D20)=1,"",RIGHT(D20,LEN(D20)-2))</f>
        <v/>
      </c>
      <c r="E78" s="7">
        <f>IF(LEN(E20)=1,"",RIGHT(E20,LEN(E20)-2))</f>
        <v/>
      </c>
      <c r="F78" s="7">
        <f>IF(LEN(F20)=1,"",RIGHT(F20,LEN(F20)-2))</f>
        <v/>
      </c>
      <c r="G78" s="7">
        <f>IF(LEN(G20)=1,"",RIGHT(G20,LEN(G20)-2))</f>
        <v/>
      </c>
      <c r="H78" s="7">
        <f>IF(LEN(H20)=1,"",RIGHT(H20,LEN(H20)-2))</f>
        <v/>
      </c>
      <c r="I78" s="7">
        <f>IF(LEN(I20)=1,"",RIGHT(I20,LEN(I20)-2))</f>
        <v/>
      </c>
      <c r="J78" s="7">
        <f>IF(LEN(J20)=1,"",RIGHT(J20,LEN(J20)-2))</f>
        <v/>
      </c>
      <c r="K78" s="7">
        <f>IF(LEN(K20)=1,"",RIGHT(K20,LEN(K20)-2))</f>
        <v/>
      </c>
      <c r="L78" s="7">
        <f>IF(LEN(L20)=1,"",RIGHT(L20,LEN(L20)-2))</f>
        <v/>
      </c>
      <c r="M78" s="7">
        <f>IF(LEN(M20)=1,"",RIGHT(M20,LEN(M20)-2))</f>
        <v/>
      </c>
      <c r="N78" s="7">
        <f>IF(LEN(N20)=1,"",RIGHT(N20,LEN(N20)-2))</f>
        <v/>
      </c>
      <c r="O78" s="7">
        <f>IF(LEN(O20)=1,"",RIGHT(O20,LEN(O20)-2))</f>
        <v/>
      </c>
      <c r="P78" s="7">
        <f>IF(LEN(P20)=1,"",RIGHT(P20,LEN(P20)-2))</f>
        <v/>
      </c>
      <c r="Q78" s="7">
        <f>IF(LEN(Q20)=1,"",RIGHT(Q20,LEN(Q20)-2))</f>
        <v/>
      </c>
      <c r="R78" s="7">
        <f>IF(LEN(R20)=1,"",RIGHT(R20,LEN(R20)-2))</f>
        <v/>
      </c>
      <c r="S78" s="7">
        <f>IF(LEN(S20)=1,"",RIGHT(S20,LEN(S20)-2))</f>
        <v/>
      </c>
      <c r="T78" s="7">
        <f>IF(LEN(T20)=1,"",RIGHT(T20,LEN(T20)-2))</f>
        <v/>
      </c>
      <c r="U78" s="7">
        <f>IF(LEN(U20)=1,"",RIGHT(U20,LEN(U20)-2))</f>
        <v/>
      </c>
      <c r="V78" s="7">
        <f>IF(LEN(V20)=1,"",RIGHT(V20,LEN(V20)-2))</f>
        <v/>
      </c>
      <c r="W78" s="7">
        <f>IF(LEN(W20)=1,"",RIGHT(W20,LEN(W20)-2))</f>
        <v/>
      </c>
      <c r="X78" s="7">
        <f>IF(LEN(X20)=1,"",RIGHT(X20,LEN(X20)-2))</f>
        <v/>
      </c>
      <c r="Y78" s="7">
        <f>IF(LEN(Y20)=1,"",RIGHT(Y20,LEN(Y20)-2))</f>
        <v/>
      </c>
      <c r="Z78" s="7">
        <f>IF(LEN(Z20)=1,"",RIGHT(Z20,LEN(Z20)-2))</f>
        <v/>
      </c>
      <c r="AA78" s="7">
        <f>IF(LEN(AA20)=1,"",RIGHT(AA20,LEN(AA20)-2))</f>
        <v/>
      </c>
      <c r="AB78" s="7">
        <f>IF(LEN(AB20)=1,"",RIGHT(AB20,LEN(AB20)-2))</f>
        <v/>
      </c>
      <c r="AC78" s="7">
        <f>IF(LEN(AC20)=1,"",RIGHT(AC20,LEN(AC20)-2))</f>
        <v/>
      </c>
      <c r="AD78" s="7">
        <f>IF(LEN(AD20)=1,"",RIGHT(AD20,LEN(AD20)-2))</f>
        <v/>
      </c>
      <c r="AE78" s="7">
        <f>IF(LEN(AE20)=1,"",RIGHT(AE20,LEN(AE20)-2))</f>
        <v/>
      </c>
      <c r="AF78" s="7">
        <f>IF(LEN(AF20)=1,"",RIGHT(AF20,LEN(AF20)-2))</f>
        <v/>
      </c>
      <c r="AG78" s="7">
        <f>IF(LEN(AG20)=1,"",RIGHT(AG20,LEN(AG20)-2))</f>
        <v/>
      </c>
    </row>
    <row r="79">
      <c r="A79" s="23" t="inlineStr">
        <is>
          <t>Staff 19</t>
        </is>
      </c>
      <c r="B79" s="26">
        <f t="array" ref="B79">IFERROR(IF(ROUNDUP(SUMPRODUCT(1/COUNTIF(C79:AG79,C79:AG79)),0)&lt;=2, "Passed", "Failed"),"Failed")</f>
        <v/>
      </c>
      <c r="C79" s="7">
        <f>IF(LEN(C21)=1,"",RIGHT(C21,LEN(C21)-2))</f>
        <v/>
      </c>
      <c r="D79" s="7">
        <f>IF(LEN(D21)=1,"",RIGHT(D21,LEN(D21)-2))</f>
        <v/>
      </c>
      <c r="E79" s="7">
        <f>IF(LEN(E21)=1,"",RIGHT(E21,LEN(E21)-2))</f>
        <v/>
      </c>
      <c r="F79" s="7">
        <f>IF(LEN(F21)=1,"",RIGHT(F21,LEN(F21)-2))</f>
        <v/>
      </c>
      <c r="G79" s="7">
        <f>IF(LEN(G21)=1,"",RIGHT(G21,LEN(G21)-2))</f>
        <v/>
      </c>
      <c r="H79" s="7">
        <f>IF(LEN(H21)=1,"",RIGHT(H21,LEN(H21)-2))</f>
        <v/>
      </c>
      <c r="I79" s="7">
        <f>IF(LEN(I21)=1,"",RIGHT(I21,LEN(I21)-2))</f>
        <v/>
      </c>
      <c r="J79" s="7">
        <f>IF(LEN(J21)=1,"",RIGHT(J21,LEN(J21)-2))</f>
        <v/>
      </c>
      <c r="K79" s="7">
        <f>IF(LEN(K21)=1,"",RIGHT(K21,LEN(K21)-2))</f>
        <v/>
      </c>
      <c r="L79" s="7">
        <f>IF(LEN(L21)=1,"",RIGHT(L21,LEN(L21)-2))</f>
        <v/>
      </c>
      <c r="M79" s="7">
        <f>IF(LEN(M21)=1,"",RIGHT(M21,LEN(M21)-2))</f>
        <v/>
      </c>
      <c r="N79" s="7">
        <f>IF(LEN(N21)=1,"",RIGHT(N21,LEN(N21)-2))</f>
        <v/>
      </c>
      <c r="O79" s="7">
        <f>IF(LEN(O21)=1,"",RIGHT(O21,LEN(O21)-2))</f>
        <v/>
      </c>
      <c r="P79" s="7">
        <f>IF(LEN(P21)=1,"",RIGHT(P21,LEN(P21)-2))</f>
        <v/>
      </c>
      <c r="Q79" s="7">
        <f>IF(LEN(Q21)=1,"",RIGHT(Q21,LEN(Q21)-2))</f>
        <v/>
      </c>
      <c r="R79" s="7">
        <f>IF(LEN(R21)=1,"",RIGHT(R21,LEN(R21)-2))</f>
        <v/>
      </c>
      <c r="S79" s="7">
        <f>IF(LEN(S21)=1,"",RIGHT(S21,LEN(S21)-2))</f>
        <v/>
      </c>
      <c r="T79" s="7">
        <f>IF(LEN(T21)=1,"",RIGHT(T21,LEN(T21)-2))</f>
        <v/>
      </c>
      <c r="U79" s="7">
        <f>IF(LEN(U21)=1,"",RIGHT(U21,LEN(U21)-2))</f>
        <v/>
      </c>
      <c r="V79" s="7">
        <f>IF(LEN(V21)=1,"",RIGHT(V21,LEN(V21)-2))</f>
        <v/>
      </c>
      <c r="W79" s="7">
        <f>IF(LEN(W21)=1,"",RIGHT(W21,LEN(W21)-2))</f>
        <v/>
      </c>
      <c r="X79" s="7">
        <f>IF(LEN(X21)=1,"",RIGHT(X21,LEN(X21)-2))</f>
        <v/>
      </c>
      <c r="Y79" s="7">
        <f>IF(LEN(Y21)=1,"",RIGHT(Y21,LEN(Y21)-2))</f>
        <v/>
      </c>
      <c r="Z79" s="7">
        <f>IF(LEN(Z21)=1,"",RIGHT(Z21,LEN(Z21)-2))</f>
        <v/>
      </c>
      <c r="AA79" s="7">
        <f>IF(LEN(AA21)=1,"",RIGHT(AA21,LEN(AA21)-2))</f>
        <v/>
      </c>
      <c r="AB79" s="7">
        <f>IF(LEN(AB21)=1,"",RIGHT(AB21,LEN(AB21)-2))</f>
        <v/>
      </c>
      <c r="AC79" s="7">
        <f>IF(LEN(AC21)=1,"",RIGHT(AC21,LEN(AC21)-2))</f>
        <v/>
      </c>
      <c r="AD79" s="7">
        <f>IF(LEN(AD21)=1,"",RIGHT(AD21,LEN(AD21)-2))</f>
        <v/>
      </c>
      <c r="AE79" s="7">
        <f>IF(LEN(AE21)=1,"",RIGHT(AE21,LEN(AE21)-2))</f>
        <v/>
      </c>
      <c r="AF79" s="7">
        <f>IF(LEN(AF21)=1,"",RIGHT(AF21,LEN(AF21)-2))</f>
        <v/>
      </c>
      <c r="AG79" s="7">
        <f>IF(LEN(AG21)=1,"",RIGHT(AG21,LEN(AG21)-2))</f>
        <v/>
      </c>
    </row>
    <row r="81">
      <c r="A81" s="1" t="inlineStr">
        <is>
          <t>Staff's Zone Rotation Statistics</t>
        </is>
      </c>
    </row>
    <row r="82">
      <c r="A82" s="25" t="n"/>
      <c r="B82" s="27" t="inlineStr">
        <is>
          <t>Pre</t>
        </is>
      </c>
      <c r="C82" s="27" t="inlineStr">
        <is>
          <t>This</t>
        </is>
      </c>
      <c r="D82" s="27" t="inlineStr">
        <is>
          <t>Pre Idx</t>
        </is>
      </c>
      <c r="E82" s="27" t="inlineStr">
        <is>
          <t>This Idx</t>
        </is>
      </c>
      <c r="F82" s="28" t="n"/>
    </row>
    <row r="83">
      <c r="A83" s="25" t="inlineStr">
        <is>
          <t>Staff 1</t>
        </is>
      </c>
      <c r="B83" s="17">
        <f>RIGHT(C25,LEN(C25)-2)</f>
        <v/>
      </c>
      <c r="C83" s="17">
        <f>RIGHT(D3,LEN(D3)-2)</f>
        <v/>
      </c>
      <c r="D83" s="17">
        <f>HLOOKUP(B83,$A$103:$D$104,2,0)</f>
        <v/>
      </c>
      <c r="E83" s="17">
        <f>HLOOKUP(C83,$A$103:$D$104,2,0)</f>
        <v/>
      </c>
      <c r="F83" s="29">
        <f>IF(AND(D83=4,E83=1),"Passed",IF(AND(D83-E83=-1, D83&lt;4),"Passed", "Failed"))</f>
        <v/>
      </c>
    </row>
    <row r="84">
      <c r="A84" s="22" t="inlineStr">
        <is>
          <t>Staff 2</t>
        </is>
      </c>
      <c r="B84" s="17">
        <f>RIGHT(C26,LEN(C26)-2)</f>
        <v/>
      </c>
      <c r="C84" s="17">
        <f>RIGHT(D4,LEN(D4)-2)</f>
        <v/>
      </c>
      <c r="D84" s="17">
        <f>HLOOKUP(B84,$A$103:$D$104,2,0)</f>
        <v/>
      </c>
      <c r="E84" s="17">
        <f>HLOOKUP(C84,$A$103:$D$104,2,0)</f>
        <v/>
      </c>
      <c r="F84" s="29">
        <f>IF(AND(D84=4,E84=1),"Passed",IF(AND(D84-E84=-1, D84&lt;4),"Passed", "Failed"))</f>
        <v/>
      </c>
    </row>
    <row r="85">
      <c r="A85" s="22" t="inlineStr">
        <is>
          <t>Staff 3</t>
        </is>
      </c>
      <c r="B85" s="17">
        <f>RIGHT(C27,LEN(C27)-2)</f>
        <v/>
      </c>
      <c r="C85" s="17">
        <f>RIGHT(D5,LEN(D5)-2)</f>
        <v/>
      </c>
      <c r="D85" s="17">
        <f>HLOOKUP(B85,$A$103:$D$104,2,0)</f>
        <v/>
      </c>
      <c r="E85" s="17">
        <f>HLOOKUP(C85,$A$103:$D$104,2,0)</f>
        <v/>
      </c>
      <c r="F85" s="29">
        <f>IF(AND(D85=4,E85=1),"Passed",IF(AND(D85-E85=-1, D85&lt;4),"Passed", "Failed"))</f>
        <v/>
      </c>
    </row>
    <row r="86">
      <c r="A86" s="22" t="inlineStr">
        <is>
          <t>Staff 4</t>
        </is>
      </c>
      <c r="B86" s="17">
        <f>RIGHT(C28,LEN(C28)-2)</f>
        <v/>
      </c>
      <c r="C86" s="17">
        <f>RIGHT(D6,LEN(D6)-2)</f>
        <v/>
      </c>
      <c r="D86" s="17">
        <f>HLOOKUP(B86,$A$103:$D$104,2,0)</f>
        <v/>
      </c>
      <c r="E86" s="17">
        <f>HLOOKUP(C86,$A$103:$D$104,2,0)</f>
        <v/>
      </c>
      <c r="F86" s="29">
        <f>IF(AND(D86=4,E86=1),"Passed",IF(AND(D86-E86=-1, D86&lt;4),"Passed", "Failed"))</f>
        <v/>
      </c>
    </row>
    <row r="87">
      <c r="A87" s="22" t="inlineStr">
        <is>
          <t>Staff 5</t>
        </is>
      </c>
      <c r="B87" s="17">
        <f>RIGHT(C29,LEN(C29)-2)</f>
        <v/>
      </c>
      <c r="C87" s="17">
        <f>RIGHT(D7,LEN(D7)-2)</f>
        <v/>
      </c>
      <c r="D87" s="17">
        <f>HLOOKUP(B87,$A$103:$D$104,2,0)</f>
        <v/>
      </c>
      <c r="E87" s="17">
        <f>HLOOKUP(C87,$A$103:$D$104,2,0)</f>
        <v/>
      </c>
      <c r="F87" s="29">
        <f>IF(AND(D87=4,E87=1),"Passed",IF(AND(D87-E87=-1, D87&lt;4),"Passed", "Failed"))</f>
        <v/>
      </c>
    </row>
    <row r="88">
      <c r="A88" s="22" t="inlineStr">
        <is>
          <t>Staff 6</t>
        </is>
      </c>
      <c r="B88" s="17">
        <f>RIGHT(D30,LEN(D30)-2)</f>
        <v/>
      </c>
      <c r="C88" s="17">
        <f>RIGHT(D8,LEN(D8)-2)</f>
        <v/>
      </c>
      <c r="D88" s="17">
        <f>HLOOKUP(B88,$A$103:$D$104,2,0)</f>
        <v/>
      </c>
      <c r="E88" s="17">
        <f>HLOOKUP(C88,$A$103:$D$104,2,0)</f>
        <v/>
      </c>
      <c r="F88" s="29">
        <f>IF(AND(D88=4,E88=1),"Passed",IF(AND(D88-E88=-1, D88&lt;4),"Passed", "Failed"))</f>
        <v/>
      </c>
    </row>
    <row r="89">
      <c r="A89" s="22" t="inlineStr">
        <is>
          <t>Staff 7</t>
        </is>
      </c>
      <c r="B89" s="17">
        <f>RIGHT(D31,LEN(D31)-2)</f>
        <v/>
      </c>
      <c r="C89" s="17">
        <f>RIGHT(D9,LEN(D9)-2)</f>
        <v/>
      </c>
      <c r="D89" s="17">
        <f>HLOOKUP(B89,$A$103:$D$104,2,0)</f>
        <v/>
      </c>
      <c r="E89" s="17">
        <f>HLOOKUP(C89,$A$103:$D$104,2,0)</f>
        <v/>
      </c>
      <c r="F89" s="29">
        <f>IF(AND(D89=4,E89=1),"Passed",IF(AND(D89-E89=-1, D89&lt;4),"Passed", "Failed"))</f>
        <v/>
      </c>
    </row>
    <row r="90">
      <c r="A90" s="22" t="inlineStr">
        <is>
          <t>Staff 8</t>
        </is>
      </c>
      <c r="B90" s="17">
        <f>RIGHT(D32,LEN(D32)-2)</f>
        <v/>
      </c>
      <c r="C90" s="17">
        <f>RIGHT(D10,LEN(D10)-2)</f>
        <v/>
      </c>
      <c r="D90" s="17">
        <f>HLOOKUP(B90,$A$103:$D$104,2,0)</f>
        <v/>
      </c>
      <c r="E90" s="17">
        <f>HLOOKUP(C90,$A$103:$D$104,2,0)</f>
        <v/>
      </c>
      <c r="F90" s="29">
        <f>IF(AND(D90=4,E90=1),"Passed",IF(AND(D90-E90=-1, D90&lt;4),"Passed", "Failed"))</f>
        <v/>
      </c>
    </row>
    <row r="91">
      <c r="A91" s="22" t="inlineStr">
        <is>
          <t>Staff 9</t>
        </is>
      </c>
      <c r="B91" s="17">
        <f>RIGHT(D33,LEN(D33)-2)</f>
        <v/>
      </c>
      <c r="C91" s="17">
        <f>RIGHT(D11,LEN(D11)-2)</f>
        <v/>
      </c>
      <c r="D91" s="17">
        <f>HLOOKUP(B91,$A$103:$D$104,2,0)</f>
        <v/>
      </c>
      <c r="E91" s="17">
        <f>HLOOKUP(C91,$A$103:$D$104,2,0)</f>
        <v/>
      </c>
      <c r="F91" s="29">
        <f>IF(AND(D91=4,E91=1),"Passed",IF(AND(D91-E91=-1, D91&lt;4),"Passed", "Failed"))</f>
        <v/>
      </c>
    </row>
    <row r="92">
      <c r="A92" s="22" t="inlineStr">
        <is>
          <t>Staff 10</t>
        </is>
      </c>
      <c r="B92" s="17">
        <f>RIGHT(C34,LEN(C34)-2)</f>
        <v/>
      </c>
      <c r="C92" s="17">
        <f>RIGHT(E12,LEN(E12)-2)</f>
        <v/>
      </c>
      <c r="D92" s="17">
        <f>HLOOKUP(B92,$A$103:$D$104,2,0)</f>
        <v/>
      </c>
      <c r="E92" s="17">
        <f>HLOOKUP(C92,$A$103:$D$104,2,0)</f>
        <v/>
      </c>
      <c r="F92" s="29">
        <f>IF(AND(D92=4,E92=1),"Passed",IF(AND(D92-E92=-1, D92&lt;4),"Passed", "Failed"))</f>
        <v/>
      </c>
    </row>
    <row r="93">
      <c r="A93" s="22" t="inlineStr">
        <is>
          <t>Staff 11</t>
        </is>
      </c>
      <c r="B93" s="17">
        <f>RIGHT(C35,LEN(C35)-2)</f>
        <v/>
      </c>
      <c r="C93" s="17">
        <f>RIGHT(E13,LEN(E13)-2)</f>
        <v/>
      </c>
      <c r="D93" s="17">
        <f>HLOOKUP(B93,$A$103:$D$104,2,0)</f>
        <v/>
      </c>
      <c r="E93" s="17">
        <f>HLOOKUP(C93,$A$103:$D$104,2,0)</f>
        <v/>
      </c>
      <c r="F93" s="29">
        <f>IF(AND(D93=4,E93=1),"Passed",IF(AND(D93-E93=-1, D93&lt;4),"Passed", "Failed"))</f>
        <v/>
      </c>
    </row>
    <row r="94">
      <c r="A94" s="22" t="inlineStr">
        <is>
          <t>Staff 12</t>
        </is>
      </c>
      <c r="B94" s="17">
        <f>RIGHT(C36,LEN(C36)-2)</f>
        <v/>
      </c>
      <c r="C94" s="17">
        <f>RIGHT(E14,LEN(E14)-2)</f>
        <v/>
      </c>
      <c r="D94" s="17">
        <f>HLOOKUP(B94,$A$103:$D$104,2,0)</f>
        <v/>
      </c>
      <c r="E94" s="17">
        <f>HLOOKUP(C94,$A$103:$D$104,2,0)</f>
        <v/>
      </c>
      <c r="F94" s="29">
        <f>IF(AND(D94=4,E94=1),"Passed",IF(AND(D94-E94=-1, D94&lt;4),"Passed", "Failed"))</f>
        <v/>
      </c>
    </row>
    <row r="95">
      <c r="A95" s="22" t="inlineStr">
        <is>
          <t>Staff 13</t>
        </is>
      </c>
      <c r="B95" s="17">
        <f>RIGHT(C37,LEN(C37)-2)</f>
        <v/>
      </c>
      <c r="C95" s="17">
        <f>RIGHT(E15,LEN(E15)-2)</f>
        <v/>
      </c>
      <c r="D95" s="17">
        <f>HLOOKUP(B95,$A$103:$D$104,2,0)</f>
        <v/>
      </c>
      <c r="E95" s="17">
        <f>HLOOKUP(C95,$A$103:$D$104,2,0)</f>
        <v/>
      </c>
      <c r="F95" s="29">
        <f>IF(AND(D95=4,E95=1),"Passed",IF(AND(D95-E95=-1, D95&lt;4),"Passed", "Failed"))</f>
        <v/>
      </c>
    </row>
    <row r="96">
      <c r="A96" s="22" t="inlineStr">
        <is>
          <t>Staff 14</t>
        </is>
      </c>
      <c r="C96" s="17">
        <f>RIGHT(E16,LEN(E16)-2)</f>
        <v/>
      </c>
      <c r="D96" s="17" t="n">
        <v>0</v>
      </c>
      <c r="E96" s="17">
        <f>HLOOKUP(C96,$A$103:$D$104,2,0)</f>
        <v/>
      </c>
      <c r="F96" s="29">
        <f>IF(AND(D96=4,E96=1),"Passed",IF(AND(D96-E96=-1, D96&lt;4),"Passed", "Failed"))</f>
        <v/>
      </c>
    </row>
    <row r="97">
      <c r="A97" s="22" t="inlineStr">
        <is>
          <t>Staff 15</t>
        </is>
      </c>
      <c r="B97" s="17">
        <f>RIGHT(C39,LEN(C39)-2)</f>
        <v/>
      </c>
      <c r="C97" s="17">
        <f>RIGHT(D17,LEN(D17)-2)</f>
        <v/>
      </c>
      <c r="D97" s="17">
        <f>HLOOKUP(B97,$A$103:$D$104,2,0)</f>
        <v/>
      </c>
      <c r="E97" s="17">
        <f>HLOOKUP(C97,$A$103:$D$104,2,0)</f>
        <v/>
      </c>
      <c r="F97" s="29">
        <f>IF(AND(D97=4,E97=1),"Passed",IF(AND(D97-E97=-1, D97&lt;4),"Passed", "Failed"))</f>
        <v/>
      </c>
    </row>
    <row r="98">
      <c r="A98" s="22" t="inlineStr">
        <is>
          <t>Staff 16</t>
        </is>
      </c>
      <c r="B98" s="17">
        <f>RIGHT(C40,LEN(C40)-2)</f>
        <v/>
      </c>
      <c r="C98" s="17">
        <f>RIGHT(D18,LEN(D18)-2)</f>
        <v/>
      </c>
      <c r="D98" s="17">
        <f>HLOOKUP(B98,$A$103:$D$104,2,0)</f>
        <v/>
      </c>
      <c r="E98" s="17">
        <f>HLOOKUP(C98,$A$103:$D$104,2,0)</f>
        <v/>
      </c>
      <c r="F98" s="29">
        <f>IF(AND(D98=4,E98=1),"Passed",IF(AND(D98-E98=-1, D98&lt;4),"Passed", "Failed"))</f>
        <v/>
      </c>
    </row>
    <row r="99">
      <c r="A99" s="22" t="inlineStr">
        <is>
          <t>Staff 17</t>
        </is>
      </c>
      <c r="B99" s="17">
        <f>RIGHT(C41,LEN(C41)-2)</f>
        <v/>
      </c>
      <c r="C99" s="17">
        <f>RIGHT(D19,LEN(D19)-2)</f>
        <v/>
      </c>
      <c r="D99" s="17">
        <f>HLOOKUP(B99,$A$103:$D$104,2,0)</f>
        <v/>
      </c>
      <c r="E99" s="17">
        <f>HLOOKUP(C99,$A$103:$D$104,2,0)</f>
        <v/>
      </c>
      <c r="F99" s="29">
        <f>IF(AND(D99=4,E99=1),"Passed",IF(AND(D99-E99=-1, D99&lt;4),"Passed", "Failed"))</f>
        <v/>
      </c>
    </row>
    <row r="100">
      <c r="A100" s="22" t="inlineStr">
        <is>
          <t>Staff 18</t>
        </is>
      </c>
      <c r="B100" s="17">
        <f>RIGHT(C42,LEN(C42)-2)</f>
        <v/>
      </c>
      <c r="C100" s="17">
        <f>RIGHT(D20,LEN(D20)-2)</f>
        <v/>
      </c>
      <c r="D100" s="17">
        <f>HLOOKUP(B100,$A$103:$D$104,2,0)</f>
        <v/>
      </c>
      <c r="E100" s="17">
        <f>HLOOKUP(C100,$A$103:$D$104,2,0)</f>
        <v/>
      </c>
      <c r="F100" s="29">
        <f>IF(AND(D100=4,E100=1),"Passed",IF(AND(D100-E100=-1, D100&lt;4),"Passed", "Failed"))</f>
        <v/>
      </c>
    </row>
    <row r="101">
      <c r="A101" s="23" t="inlineStr">
        <is>
          <t>Staff 19</t>
        </is>
      </c>
      <c r="B101" s="30">
        <f>RIGHT(C43,LEN(C43)-2)</f>
        <v/>
      </c>
      <c r="C101" s="30">
        <f>RIGHT(D21,LEN(D21)-2)</f>
        <v/>
      </c>
      <c r="D101" s="30">
        <f>HLOOKUP(B101,$A$103:$D$104,2,0)</f>
        <v/>
      </c>
      <c r="E101" s="30">
        <f>HLOOKUP(C101,$A$103:$D$104,2,0)</f>
        <v/>
      </c>
      <c r="F101" s="29">
        <f>IF(AND(D101=4,E101=1),"Passed",IF(AND(D101-E101=-1, D101&lt;4),"Passed", "Failed"))</f>
        <v/>
      </c>
    </row>
    <row r="103">
      <c r="A103" s="17" t="inlineStr">
        <is>
          <t>Cargo</t>
        </is>
      </c>
      <c r="B103" s="17" t="inlineStr">
        <is>
          <t>Pax</t>
        </is>
      </c>
      <c r="C103" s="17" t="inlineStr">
        <is>
          <t>Vehicles</t>
        </is>
      </c>
      <c r="D103" s="17" t="inlineStr">
        <is>
          <t>Train</t>
        </is>
      </c>
    </row>
    <row r="104">
      <c r="A104" s="17" t="n">
        <v>1</v>
      </c>
      <c r="B104" s="17" t="n">
        <v>2</v>
      </c>
      <c r="C104" s="17" t="n">
        <v>3</v>
      </c>
      <c r="D104" s="17" t="n">
        <v>4</v>
      </c>
    </row>
  </sheetData>
  <conditionalFormatting sqref="B61:B79">
    <cfRule type="cellIs" priority="7" operator="equal" dxfId="1">
      <formula>"Passed"</formula>
    </cfRule>
    <cfRule type="cellIs" priority="8" operator="equal" dxfId="0">
      <formula>"Failed"</formula>
    </cfRule>
  </conditionalFormatting>
  <conditionalFormatting sqref="C3:AG21 C25:AF43">
    <cfRule type="beginsWith" priority="1" operator="beginsWith" dxfId="7" text="O">
      <formula>LEFT((C3),LEN("O"))=("O")</formula>
    </cfRule>
    <cfRule type="beginsWith" priority="2" operator="beginsWith" dxfId="6" text="M">
      <formula>LEFT((C3),LEN("M"))=("M")</formula>
    </cfRule>
    <cfRule type="beginsWith" priority="3" operator="beginsWith" dxfId="5" text="A">
      <formula>LEFT((C3),LEN("A"))=("A")</formula>
    </cfRule>
    <cfRule type="beginsWith" priority="4" operator="beginsWith" dxfId="4" text="N">
      <formula>LEFT((C3),LEN("N"))=("N")</formula>
    </cfRule>
  </conditionalFormatting>
  <conditionalFormatting sqref="C47:AG58">
    <cfRule type="cellIs" priority="5" operator="equal" dxfId="1">
      <formula>"Passed"</formula>
    </cfRule>
    <cfRule type="cellIs" priority="6" operator="equal" dxfId="0">
      <formula>"Failed"</formula>
    </cfRule>
  </conditionalFormatting>
  <conditionalFormatting sqref="F83:F101">
    <cfRule type="beginsWith" priority="9" operator="beginsWith" dxfId="1" text="Passed">
      <formula>LEFT((F83),LEN("Passed"))=("Passed")</formula>
    </cfRule>
    <cfRule type="notContainsText" priority="10" operator="notContains" dxfId="0" text="Passed">
      <formula>ISERROR(SEARCH(("Passed"),(F83)))</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2026-04-11T23:18:30Z</dcterms:created>
  <dcterms:modified xmlns:dcterms="http://purl.org/dc/terms/" xmlns:xsi="http://www.w3.org/2001/XMLSchema-instance" xsi:type="dcterms:W3CDTF">2026-04-11T23:18:31Z</dcterms:modified>
  <cp:lastModifiedBy>Thanh Tran Viet</cp:lastModifiedBy>
</cp:coreProperties>
</file>