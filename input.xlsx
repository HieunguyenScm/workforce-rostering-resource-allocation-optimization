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hanh\Downloads\"/>
    </mc:Choice>
  </mc:AlternateContent>
  <xr:revisionPtr revIDLastSave="0" documentId="13_ncr:1_{7FCDD106-A238-427B-B7DB-4680B2287666}" xr6:coauthVersionLast="47" xr6:coauthVersionMax="47" xr10:uidLastSave="{00000000-0000-0000-0000-000000000000}"/>
  <bookViews>
    <workbookView xWindow="-108" yWindow="-108" windowWidth="23256" windowHeight="12456" xr2:uid="{00000000-000D-0000-FFFF-FFFF00000000}"/>
  </bookViews>
  <sheets>
    <sheet name="Description" sheetId="1" r:id="rId1"/>
    <sheet name="Q1 Answer" sheetId="2" r:id="rId2"/>
    <sheet name="Q2 Answer"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3" i="4" l="1"/>
  <c r="D61" i="4"/>
  <c r="E61" i="4"/>
  <c r="F61" i="4"/>
  <c r="G61" i="4"/>
  <c r="H61" i="4"/>
  <c r="I61" i="4"/>
  <c r="J61" i="4"/>
  <c r="K61" i="4"/>
  <c r="L61" i="4"/>
  <c r="M61" i="4"/>
  <c r="N61" i="4"/>
  <c r="O61" i="4"/>
  <c r="P61" i="4"/>
  <c r="Q61" i="4"/>
  <c r="R61" i="4"/>
  <c r="S61" i="4"/>
  <c r="T61" i="4"/>
  <c r="U61" i="4"/>
  <c r="V61" i="4"/>
  <c r="W61" i="4"/>
  <c r="X61" i="4"/>
  <c r="Y61" i="4"/>
  <c r="Z61" i="4"/>
  <c r="AA61" i="4"/>
  <c r="AB61" i="4"/>
  <c r="AC61" i="4"/>
  <c r="AD61" i="4"/>
  <c r="AE61" i="4"/>
  <c r="AF61" i="4"/>
  <c r="AG61" i="4"/>
  <c r="D62" i="4"/>
  <c r="E62" i="4"/>
  <c r="F62" i="4"/>
  <c r="G62" i="4"/>
  <c r="H62" i="4"/>
  <c r="B62" i="4" s="1" a="1"/>
  <c r="B62" i="4" s="1"/>
  <c r="I62" i="4"/>
  <c r="J62" i="4"/>
  <c r="K62" i="4"/>
  <c r="L62" i="4"/>
  <c r="M62" i="4"/>
  <c r="N62" i="4"/>
  <c r="O62" i="4"/>
  <c r="P62" i="4"/>
  <c r="Q62" i="4"/>
  <c r="R62" i="4"/>
  <c r="S62" i="4"/>
  <c r="T62" i="4"/>
  <c r="U62" i="4"/>
  <c r="V62" i="4"/>
  <c r="W62" i="4"/>
  <c r="X62" i="4"/>
  <c r="Y62" i="4"/>
  <c r="Z62" i="4"/>
  <c r="AA62" i="4"/>
  <c r="AB62" i="4"/>
  <c r="AC62" i="4"/>
  <c r="AD62" i="4"/>
  <c r="AE62" i="4"/>
  <c r="AF62" i="4"/>
  <c r="AG62" i="4"/>
  <c r="D63" i="4"/>
  <c r="E63" i="4"/>
  <c r="F63" i="4"/>
  <c r="G63" i="4"/>
  <c r="H63" i="4"/>
  <c r="I63" i="4"/>
  <c r="J63" i="4"/>
  <c r="K63" i="4"/>
  <c r="L63" i="4"/>
  <c r="M63" i="4"/>
  <c r="N63" i="4"/>
  <c r="O63" i="4"/>
  <c r="P63" i="4"/>
  <c r="Q63" i="4"/>
  <c r="R63" i="4"/>
  <c r="S63" i="4"/>
  <c r="T63" i="4"/>
  <c r="U63" i="4"/>
  <c r="V63" i="4"/>
  <c r="W63" i="4"/>
  <c r="X63" i="4"/>
  <c r="Y63" i="4"/>
  <c r="Z63" i="4"/>
  <c r="AA63" i="4"/>
  <c r="AB63" i="4"/>
  <c r="AC63" i="4"/>
  <c r="AD63" i="4"/>
  <c r="AE63" i="4"/>
  <c r="AF63" i="4"/>
  <c r="AG63" i="4"/>
  <c r="D64" i="4"/>
  <c r="E64" i="4"/>
  <c r="F64" i="4"/>
  <c r="G64" i="4"/>
  <c r="H64" i="4"/>
  <c r="I64" i="4"/>
  <c r="J64" i="4"/>
  <c r="K64" i="4"/>
  <c r="L64" i="4"/>
  <c r="M64" i="4"/>
  <c r="N64" i="4"/>
  <c r="O64" i="4"/>
  <c r="P64" i="4"/>
  <c r="Q64" i="4"/>
  <c r="R64" i="4"/>
  <c r="S64" i="4"/>
  <c r="T64" i="4"/>
  <c r="U64" i="4"/>
  <c r="V64" i="4"/>
  <c r="W64" i="4"/>
  <c r="X64" i="4"/>
  <c r="Y64" i="4"/>
  <c r="Z64" i="4"/>
  <c r="AA64" i="4"/>
  <c r="AB64" i="4"/>
  <c r="AC64" i="4"/>
  <c r="AD64" i="4"/>
  <c r="AE64" i="4"/>
  <c r="AF64" i="4"/>
  <c r="AG64" i="4"/>
  <c r="D65" i="4"/>
  <c r="E65" i="4"/>
  <c r="F65" i="4"/>
  <c r="G65" i="4"/>
  <c r="H65" i="4"/>
  <c r="I65" i="4"/>
  <c r="J65" i="4"/>
  <c r="K65" i="4"/>
  <c r="L65" i="4"/>
  <c r="M65" i="4"/>
  <c r="N65" i="4"/>
  <c r="O65" i="4"/>
  <c r="P65" i="4"/>
  <c r="Q65" i="4"/>
  <c r="R65" i="4"/>
  <c r="S65" i="4"/>
  <c r="T65" i="4"/>
  <c r="U65" i="4"/>
  <c r="V65" i="4"/>
  <c r="W65" i="4"/>
  <c r="X65" i="4"/>
  <c r="Y65" i="4"/>
  <c r="Z65" i="4"/>
  <c r="AA65" i="4"/>
  <c r="AB65" i="4"/>
  <c r="AC65" i="4"/>
  <c r="AD65" i="4"/>
  <c r="AE65" i="4"/>
  <c r="AF65" i="4"/>
  <c r="AG65" i="4"/>
  <c r="D66" i="4"/>
  <c r="E66" i="4"/>
  <c r="F66" i="4"/>
  <c r="G66" i="4"/>
  <c r="H66" i="4"/>
  <c r="I66" i="4"/>
  <c r="J66" i="4"/>
  <c r="K66" i="4"/>
  <c r="L66" i="4"/>
  <c r="M66" i="4"/>
  <c r="N66" i="4"/>
  <c r="O66" i="4"/>
  <c r="P66" i="4"/>
  <c r="Q66" i="4"/>
  <c r="R66" i="4"/>
  <c r="S66" i="4"/>
  <c r="T66" i="4"/>
  <c r="U66" i="4"/>
  <c r="V66" i="4"/>
  <c r="W66" i="4"/>
  <c r="X66" i="4"/>
  <c r="Y66" i="4"/>
  <c r="Z66" i="4"/>
  <c r="AA66" i="4"/>
  <c r="AB66" i="4"/>
  <c r="AC66" i="4"/>
  <c r="AD66" i="4"/>
  <c r="AE66" i="4"/>
  <c r="AF66" i="4"/>
  <c r="AG66" i="4"/>
  <c r="D67" i="4"/>
  <c r="E67" i="4"/>
  <c r="F67" i="4"/>
  <c r="G67" i="4"/>
  <c r="H67" i="4"/>
  <c r="I67" i="4"/>
  <c r="B67" i="4" s="1" a="1"/>
  <c r="B67" i="4" s="1"/>
  <c r="J67" i="4"/>
  <c r="K67" i="4"/>
  <c r="L67" i="4"/>
  <c r="M67" i="4"/>
  <c r="N67" i="4"/>
  <c r="O67" i="4"/>
  <c r="P67" i="4"/>
  <c r="Q67" i="4"/>
  <c r="R67" i="4"/>
  <c r="S67" i="4"/>
  <c r="T67" i="4"/>
  <c r="U67" i="4"/>
  <c r="V67" i="4"/>
  <c r="W67" i="4"/>
  <c r="X67" i="4"/>
  <c r="Y67" i="4"/>
  <c r="Z67" i="4"/>
  <c r="AA67" i="4"/>
  <c r="AB67" i="4"/>
  <c r="AC67" i="4"/>
  <c r="AD67" i="4"/>
  <c r="AE67" i="4"/>
  <c r="AF67" i="4"/>
  <c r="AG67" i="4"/>
  <c r="D68" i="4"/>
  <c r="B68" i="4" s="1" a="1"/>
  <c r="B68" i="4" s="1"/>
  <c r="E68" i="4"/>
  <c r="F68" i="4"/>
  <c r="G68" i="4"/>
  <c r="H68" i="4"/>
  <c r="I68" i="4"/>
  <c r="J68" i="4"/>
  <c r="K68" i="4"/>
  <c r="L68" i="4"/>
  <c r="M68" i="4"/>
  <c r="N68" i="4"/>
  <c r="O68" i="4"/>
  <c r="P68" i="4"/>
  <c r="Q68" i="4"/>
  <c r="R68" i="4"/>
  <c r="S68" i="4"/>
  <c r="T68" i="4"/>
  <c r="U68" i="4"/>
  <c r="V68" i="4"/>
  <c r="W68" i="4"/>
  <c r="X68" i="4"/>
  <c r="Y68" i="4"/>
  <c r="Z68" i="4"/>
  <c r="AA68" i="4"/>
  <c r="AB68" i="4"/>
  <c r="AC68" i="4"/>
  <c r="AD68" i="4"/>
  <c r="AE68" i="4"/>
  <c r="AF68" i="4"/>
  <c r="AG68" i="4"/>
  <c r="D69" i="4"/>
  <c r="E69" i="4"/>
  <c r="B69" i="4" s="1" a="1"/>
  <c r="B69" i="4" s="1"/>
  <c r="F69" i="4"/>
  <c r="G69" i="4"/>
  <c r="H69" i="4"/>
  <c r="I69" i="4"/>
  <c r="J69" i="4"/>
  <c r="K69" i="4"/>
  <c r="L69" i="4"/>
  <c r="M69" i="4"/>
  <c r="N69" i="4"/>
  <c r="O69" i="4"/>
  <c r="P69" i="4"/>
  <c r="Q69" i="4"/>
  <c r="R69" i="4"/>
  <c r="S69" i="4"/>
  <c r="T69" i="4"/>
  <c r="U69" i="4"/>
  <c r="V69" i="4"/>
  <c r="W69" i="4"/>
  <c r="X69" i="4"/>
  <c r="Y69" i="4"/>
  <c r="Z69" i="4"/>
  <c r="AA69" i="4"/>
  <c r="AB69" i="4"/>
  <c r="AC69" i="4"/>
  <c r="AD69" i="4"/>
  <c r="AE69" i="4"/>
  <c r="AF69" i="4"/>
  <c r="AG69" i="4"/>
  <c r="D70" i="4"/>
  <c r="E70" i="4"/>
  <c r="B70" i="4" s="1" a="1"/>
  <c r="B70" i="4" s="1"/>
  <c r="F70" i="4"/>
  <c r="G70" i="4"/>
  <c r="H70" i="4"/>
  <c r="I70" i="4"/>
  <c r="J70" i="4"/>
  <c r="K70" i="4"/>
  <c r="L70" i="4"/>
  <c r="M70" i="4"/>
  <c r="N70" i="4"/>
  <c r="O70" i="4"/>
  <c r="P70" i="4"/>
  <c r="Q70" i="4"/>
  <c r="R70" i="4"/>
  <c r="S70" i="4"/>
  <c r="T70" i="4"/>
  <c r="U70" i="4"/>
  <c r="V70" i="4"/>
  <c r="W70" i="4"/>
  <c r="X70" i="4"/>
  <c r="Y70" i="4"/>
  <c r="Z70" i="4"/>
  <c r="AA70" i="4"/>
  <c r="AB70" i="4"/>
  <c r="AC70" i="4"/>
  <c r="AD70" i="4"/>
  <c r="AE70" i="4"/>
  <c r="AF70" i="4"/>
  <c r="AG70" i="4"/>
  <c r="D71" i="4"/>
  <c r="E71" i="4"/>
  <c r="F71" i="4"/>
  <c r="G71" i="4"/>
  <c r="H71" i="4"/>
  <c r="I71" i="4"/>
  <c r="J71" i="4"/>
  <c r="K71" i="4"/>
  <c r="L71" i="4"/>
  <c r="M71" i="4"/>
  <c r="N71" i="4"/>
  <c r="O71" i="4"/>
  <c r="P71" i="4"/>
  <c r="Q71" i="4"/>
  <c r="R71" i="4"/>
  <c r="S71" i="4"/>
  <c r="T71" i="4"/>
  <c r="U71" i="4"/>
  <c r="V71" i="4"/>
  <c r="W71" i="4"/>
  <c r="X71" i="4"/>
  <c r="Y71" i="4"/>
  <c r="Z71" i="4"/>
  <c r="AA71" i="4"/>
  <c r="AB71" i="4"/>
  <c r="AC71" i="4"/>
  <c r="AD71" i="4"/>
  <c r="AE71" i="4"/>
  <c r="AF71" i="4"/>
  <c r="AG71" i="4"/>
  <c r="D72" i="4"/>
  <c r="E72" i="4"/>
  <c r="F72" i="4"/>
  <c r="G72" i="4"/>
  <c r="H72" i="4"/>
  <c r="I72" i="4"/>
  <c r="J72" i="4"/>
  <c r="K72" i="4"/>
  <c r="L72" i="4"/>
  <c r="M72" i="4"/>
  <c r="N72" i="4"/>
  <c r="O72" i="4"/>
  <c r="P72" i="4"/>
  <c r="Q72" i="4"/>
  <c r="R72" i="4"/>
  <c r="S72" i="4"/>
  <c r="T72" i="4"/>
  <c r="U72" i="4"/>
  <c r="V72" i="4"/>
  <c r="W72" i="4"/>
  <c r="X72" i="4"/>
  <c r="Y72" i="4"/>
  <c r="Z72" i="4"/>
  <c r="AA72" i="4"/>
  <c r="AB72" i="4"/>
  <c r="AC72" i="4"/>
  <c r="AD72" i="4"/>
  <c r="AE72" i="4"/>
  <c r="AF72" i="4"/>
  <c r="AG72" i="4"/>
  <c r="D73" i="4"/>
  <c r="E73" i="4"/>
  <c r="F73" i="4"/>
  <c r="G73" i="4"/>
  <c r="H73" i="4"/>
  <c r="I73" i="4"/>
  <c r="J73" i="4"/>
  <c r="K73" i="4"/>
  <c r="L73" i="4"/>
  <c r="M73" i="4"/>
  <c r="N73" i="4"/>
  <c r="O73" i="4"/>
  <c r="P73" i="4"/>
  <c r="Q73" i="4"/>
  <c r="R73" i="4"/>
  <c r="S73" i="4"/>
  <c r="T73" i="4"/>
  <c r="U73" i="4"/>
  <c r="V73" i="4"/>
  <c r="W73" i="4"/>
  <c r="X73" i="4"/>
  <c r="Y73" i="4"/>
  <c r="Z73" i="4"/>
  <c r="AA73" i="4"/>
  <c r="AB73" i="4"/>
  <c r="AC73" i="4"/>
  <c r="AD73" i="4"/>
  <c r="AE73" i="4"/>
  <c r="AF73" i="4"/>
  <c r="AG73" i="4"/>
  <c r="D74" i="4"/>
  <c r="E74" i="4"/>
  <c r="F74" i="4"/>
  <c r="G74" i="4"/>
  <c r="H74" i="4"/>
  <c r="I74" i="4"/>
  <c r="J74" i="4"/>
  <c r="K74" i="4"/>
  <c r="L74" i="4"/>
  <c r="M74" i="4"/>
  <c r="N74" i="4"/>
  <c r="O74" i="4"/>
  <c r="P74" i="4"/>
  <c r="Q74" i="4"/>
  <c r="R74" i="4"/>
  <c r="S74" i="4"/>
  <c r="T74" i="4"/>
  <c r="U74" i="4"/>
  <c r="V74" i="4"/>
  <c r="W74" i="4"/>
  <c r="X74" i="4"/>
  <c r="Y74" i="4"/>
  <c r="Z74" i="4"/>
  <c r="AA74" i="4"/>
  <c r="AB74" i="4"/>
  <c r="AC74" i="4"/>
  <c r="AD74" i="4"/>
  <c r="AE74" i="4"/>
  <c r="AF74" i="4"/>
  <c r="AG74" i="4"/>
  <c r="D75" i="4"/>
  <c r="E75" i="4"/>
  <c r="F75" i="4"/>
  <c r="G75" i="4"/>
  <c r="H75" i="4"/>
  <c r="I75" i="4"/>
  <c r="B75" i="4" s="1" a="1"/>
  <c r="B75" i="4" s="1"/>
  <c r="J75" i="4"/>
  <c r="K75" i="4"/>
  <c r="L75" i="4"/>
  <c r="M75" i="4"/>
  <c r="N75" i="4"/>
  <c r="O75" i="4"/>
  <c r="P75" i="4"/>
  <c r="Q75" i="4"/>
  <c r="R75" i="4"/>
  <c r="S75" i="4"/>
  <c r="T75" i="4"/>
  <c r="U75" i="4"/>
  <c r="V75" i="4"/>
  <c r="W75" i="4"/>
  <c r="X75" i="4"/>
  <c r="Y75" i="4"/>
  <c r="Z75" i="4"/>
  <c r="AA75" i="4"/>
  <c r="AB75" i="4"/>
  <c r="AC75" i="4"/>
  <c r="AD75" i="4"/>
  <c r="AE75" i="4"/>
  <c r="AF75" i="4"/>
  <c r="AG75" i="4"/>
  <c r="D76" i="4"/>
  <c r="E76" i="4"/>
  <c r="F76" i="4"/>
  <c r="G76" i="4"/>
  <c r="H76" i="4"/>
  <c r="I76" i="4"/>
  <c r="J76" i="4"/>
  <c r="K76" i="4"/>
  <c r="L76" i="4"/>
  <c r="M76" i="4"/>
  <c r="N76" i="4"/>
  <c r="O76" i="4"/>
  <c r="P76" i="4"/>
  <c r="Q76" i="4"/>
  <c r="R76" i="4"/>
  <c r="S76" i="4"/>
  <c r="T76" i="4"/>
  <c r="U76" i="4"/>
  <c r="V76" i="4"/>
  <c r="W76" i="4"/>
  <c r="X76" i="4"/>
  <c r="Y76" i="4"/>
  <c r="Z76" i="4"/>
  <c r="AA76" i="4"/>
  <c r="AB76" i="4"/>
  <c r="AC76" i="4"/>
  <c r="AD76" i="4"/>
  <c r="AE76" i="4"/>
  <c r="AF76" i="4"/>
  <c r="AG76" i="4"/>
  <c r="D77" i="4"/>
  <c r="E77" i="4"/>
  <c r="F77" i="4"/>
  <c r="G77" i="4"/>
  <c r="H77" i="4"/>
  <c r="I77" i="4"/>
  <c r="J77" i="4"/>
  <c r="K77" i="4"/>
  <c r="L77" i="4"/>
  <c r="M77" i="4"/>
  <c r="N77" i="4"/>
  <c r="O77" i="4"/>
  <c r="P77" i="4"/>
  <c r="Q77" i="4"/>
  <c r="R77" i="4"/>
  <c r="S77" i="4"/>
  <c r="T77" i="4"/>
  <c r="U77" i="4"/>
  <c r="V77" i="4"/>
  <c r="W77" i="4"/>
  <c r="X77" i="4"/>
  <c r="Y77" i="4"/>
  <c r="Z77" i="4"/>
  <c r="AA77" i="4"/>
  <c r="AB77" i="4"/>
  <c r="AC77" i="4"/>
  <c r="AD77" i="4"/>
  <c r="AE77" i="4"/>
  <c r="AF77" i="4"/>
  <c r="AG77" i="4"/>
  <c r="D78" i="4"/>
  <c r="E78" i="4"/>
  <c r="B78" i="4" s="1" a="1"/>
  <c r="B78" i="4" s="1"/>
  <c r="F78" i="4"/>
  <c r="G78" i="4"/>
  <c r="H78" i="4"/>
  <c r="I78" i="4"/>
  <c r="J78" i="4"/>
  <c r="K78" i="4"/>
  <c r="L78" i="4"/>
  <c r="M78" i="4"/>
  <c r="N78" i="4"/>
  <c r="O78" i="4"/>
  <c r="P78" i="4"/>
  <c r="Q78" i="4"/>
  <c r="R78" i="4"/>
  <c r="S78" i="4"/>
  <c r="T78" i="4"/>
  <c r="U78" i="4"/>
  <c r="V78" i="4"/>
  <c r="W78" i="4"/>
  <c r="X78" i="4"/>
  <c r="Y78" i="4"/>
  <c r="Z78" i="4"/>
  <c r="AA78" i="4"/>
  <c r="AB78" i="4"/>
  <c r="AC78" i="4"/>
  <c r="AD78" i="4"/>
  <c r="AE78" i="4"/>
  <c r="AF78" i="4"/>
  <c r="AG78" i="4"/>
  <c r="D79" i="4"/>
  <c r="E79" i="4"/>
  <c r="F79" i="4"/>
  <c r="G79" i="4"/>
  <c r="H79" i="4"/>
  <c r="I79" i="4"/>
  <c r="J79" i="4"/>
  <c r="K79" i="4"/>
  <c r="L79" i="4"/>
  <c r="M79" i="4"/>
  <c r="N79" i="4"/>
  <c r="O79" i="4"/>
  <c r="P79" i="4"/>
  <c r="Q79" i="4"/>
  <c r="R79" i="4"/>
  <c r="S79" i="4"/>
  <c r="T79" i="4"/>
  <c r="U79" i="4"/>
  <c r="V79" i="4"/>
  <c r="W79" i="4"/>
  <c r="X79" i="4"/>
  <c r="Y79" i="4"/>
  <c r="Z79" i="4"/>
  <c r="AA79" i="4"/>
  <c r="AB79" i="4"/>
  <c r="AC79" i="4"/>
  <c r="AD79" i="4"/>
  <c r="AE79" i="4"/>
  <c r="AF79" i="4"/>
  <c r="AG79" i="4"/>
  <c r="C62" i="4"/>
  <c r="C63" i="4"/>
  <c r="C64" i="4"/>
  <c r="C65" i="4"/>
  <c r="C66" i="4"/>
  <c r="C67" i="4"/>
  <c r="C68" i="4"/>
  <c r="C69" i="4"/>
  <c r="C70" i="4"/>
  <c r="C71" i="4"/>
  <c r="C72" i="4"/>
  <c r="C73" i="4"/>
  <c r="C74" i="4"/>
  <c r="C75" i="4"/>
  <c r="C76" i="4"/>
  <c r="C77" i="4"/>
  <c r="C78" i="4"/>
  <c r="C79" i="4"/>
  <c r="C61" i="4"/>
  <c r="B74" i="4" a="1"/>
  <c r="B74" i="4" s="1"/>
  <c r="D47" i="4"/>
  <c r="E47" i="4"/>
  <c r="F47" i="4"/>
  <c r="G47" i="4"/>
  <c r="H47" i="4"/>
  <c r="I47" i="4"/>
  <c r="J47" i="4"/>
  <c r="K47" i="4"/>
  <c r="L47" i="4"/>
  <c r="M47" i="4"/>
  <c r="N47" i="4"/>
  <c r="O47" i="4"/>
  <c r="P47" i="4"/>
  <c r="Q47" i="4"/>
  <c r="R47" i="4"/>
  <c r="S47" i="4"/>
  <c r="T47" i="4"/>
  <c r="U47" i="4"/>
  <c r="V47" i="4"/>
  <c r="W47" i="4"/>
  <c r="X47" i="4"/>
  <c r="Y47" i="4"/>
  <c r="Z47" i="4"/>
  <c r="AA47" i="4"/>
  <c r="AB47" i="4"/>
  <c r="AC47" i="4"/>
  <c r="AD47" i="4"/>
  <c r="AE47" i="4"/>
  <c r="AF47" i="4"/>
  <c r="AG47" i="4"/>
  <c r="D48" i="4"/>
  <c r="E48" i="4"/>
  <c r="F48" i="4"/>
  <c r="G48" i="4"/>
  <c r="H48" i="4"/>
  <c r="I48" i="4"/>
  <c r="J48" i="4"/>
  <c r="K48" i="4"/>
  <c r="L48" i="4"/>
  <c r="M48" i="4"/>
  <c r="N48" i="4"/>
  <c r="O48" i="4"/>
  <c r="P48" i="4"/>
  <c r="Q48" i="4"/>
  <c r="R48" i="4"/>
  <c r="S48" i="4"/>
  <c r="T48" i="4"/>
  <c r="U48" i="4"/>
  <c r="V48" i="4"/>
  <c r="W48" i="4"/>
  <c r="X48" i="4"/>
  <c r="Y48" i="4"/>
  <c r="Z48" i="4"/>
  <c r="AA48" i="4"/>
  <c r="AB48" i="4"/>
  <c r="AC48" i="4"/>
  <c r="AD48" i="4"/>
  <c r="AE48" i="4"/>
  <c r="AF48" i="4"/>
  <c r="AG48" i="4"/>
  <c r="D49" i="4"/>
  <c r="E49" i="4"/>
  <c r="F49" i="4"/>
  <c r="G49" i="4"/>
  <c r="H49" i="4"/>
  <c r="I49" i="4"/>
  <c r="J49" i="4"/>
  <c r="K49" i="4"/>
  <c r="L49" i="4"/>
  <c r="M49" i="4"/>
  <c r="N49" i="4"/>
  <c r="O49" i="4"/>
  <c r="P49" i="4"/>
  <c r="Q49" i="4"/>
  <c r="R49" i="4"/>
  <c r="S49" i="4"/>
  <c r="T49" i="4"/>
  <c r="U49" i="4"/>
  <c r="V49" i="4"/>
  <c r="W49" i="4"/>
  <c r="X49" i="4"/>
  <c r="Y49" i="4"/>
  <c r="Z49" i="4"/>
  <c r="AA49" i="4"/>
  <c r="AB49" i="4"/>
  <c r="AC49" i="4"/>
  <c r="AD49" i="4"/>
  <c r="AE49" i="4"/>
  <c r="AF49" i="4"/>
  <c r="AG49" i="4"/>
  <c r="D50" i="4"/>
  <c r="E50" i="4"/>
  <c r="F50" i="4"/>
  <c r="G50" i="4"/>
  <c r="H50" i="4"/>
  <c r="I50" i="4"/>
  <c r="J50" i="4"/>
  <c r="K50" i="4"/>
  <c r="L50" i="4"/>
  <c r="M50" i="4"/>
  <c r="N50" i="4"/>
  <c r="O50" i="4"/>
  <c r="P50" i="4"/>
  <c r="Q50" i="4"/>
  <c r="R50" i="4"/>
  <c r="S50" i="4"/>
  <c r="T50" i="4"/>
  <c r="U50" i="4"/>
  <c r="V50" i="4"/>
  <c r="W50" i="4"/>
  <c r="X50" i="4"/>
  <c r="Y50" i="4"/>
  <c r="Z50" i="4"/>
  <c r="AA50" i="4"/>
  <c r="AB50" i="4"/>
  <c r="AC50" i="4"/>
  <c r="AD50" i="4"/>
  <c r="AE50" i="4"/>
  <c r="AF50" i="4"/>
  <c r="AG50" i="4"/>
  <c r="D51" i="4"/>
  <c r="E51" i="4"/>
  <c r="F51" i="4"/>
  <c r="G51" i="4"/>
  <c r="H51" i="4"/>
  <c r="I51" i="4"/>
  <c r="J51" i="4"/>
  <c r="K51" i="4"/>
  <c r="L51" i="4"/>
  <c r="M51" i="4"/>
  <c r="N51" i="4"/>
  <c r="O51" i="4"/>
  <c r="P51" i="4"/>
  <c r="Q51" i="4"/>
  <c r="R51" i="4"/>
  <c r="S51" i="4"/>
  <c r="T51" i="4"/>
  <c r="U51" i="4"/>
  <c r="V51" i="4"/>
  <c r="W51" i="4"/>
  <c r="X51" i="4"/>
  <c r="Y51" i="4"/>
  <c r="Z51" i="4"/>
  <c r="AA51" i="4"/>
  <c r="AB51" i="4"/>
  <c r="AC51" i="4"/>
  <c r="AD51" i="4"/>
  <c r="AE51" i="4"/>
  <c r="AF51" i="4"/>
  <c r="AG51" i="4"/>
  <c r="D52" i="4"/>
  <c r="E52" i="4"/>
  <c r="F52" i="4"/>
  <c r="G52" i="4"/>
  <c r="H52" i="4"/>
  <c r="I52" i="4"/>
  <c r="J52" i="4"/>
  <c r="K52" i="4"/>
  <c r="L52" i="4"/>
  <c r="M52" i="4"/>
  <c r="N52" i="4"/>
  <c r="O52" i="4"/>
  <c r="P52" i="4"/>
  <c r="Q52" i="4"/>
  <c r="R52" i="4"/>
  <c r="S52" i="4"/>
  <c r="T52" i="4"/>
  <c r="U52" i="4"/>
  <c r="V52" i="4"/>
  <c r="W52" i="4"/>
  <c r="X52" i="4"/>
  <c r="Y52" i="4"/>
  <c r="Z52" i="4"/>
  <c r="AA52" i="4"/>
  <c r="AB52" i="4"/>
  <c r="AC52" i="4"/>
  <c r="AD52" i="4"/>
  <c r="AE52" i="4"/>
  <c r="AF52" i="4"/>
  <c r="AG52" i="4"/>
  <c r="D53" i="4"/>
  <c r="E53" i="4"/>
  <c r="F53" i="4"/>
  <c r="G53" i="4"/>
  <c r="H53" i="4"/>
  <c r="I53" i="4"/>
  <c r="J53" i="4"/>
  <c r="K53" i="4"/>
  <c r="L53" i="4"/>
  <c r="M53" i="4"/>
  <c r="N53" i="4"/>
  <c r="O53" i="4"/>
  <c r="P53" i="4"/>
  <c r="Q53" i="4"/>
  <c r="R53" i="4"/>
  <c r="S53" i="4"/>
  <c r="T53" i="4"/>
  <c r="U53" i="4"/>
  <c r="V53" i="4"/>
  <c r="W53" i="4"/>
  <c r="X53" i="4"/>
  <c r="Y53" i="4"/>
  <c r="Z53" i="4"/>
  <c r="AA53" i="4"/>
  <c r="AB53" i="4"/>
  <c r="AC53" i="4"/>
  <c r="AD53" i="4"/>
  <c r="AE53" i="4"/>
  <c r="AF53" i="4"/>
  <c r="AG53" i="4"/>
  <c r="D54" i="4"/>
  <c r="E54" i="4"/>
  <c r="F54" i="4"/>
  <c r="G54" i="4"/>
  <c r="H54" i="4"/>
  <c r="I54" i="4"/>
  <c r="J54" i="4"/>
  <c r="K54" i="4"/>
  <c r="L54" i="4"/>
  <c r="M54" i="4"/>
  <c r="N54" i="4"/>
  <c r="O54" i="4"/>
  <c r="P54" i="4"/>
  <c r="Q54" i="4"/>
  <c r="R54" i="4"/>
  <c r="S54" i="4"/>
  <c r="T54" i="4"/>
  <c r="U54" i="4"/>
  <c r="V54" i="4"/>
  <c r="W54" i="4"/>
  <c r="X54" i="4"/>
  <c r="Y54" i="4"/>
  <c r="Z54" i="4"/>
  <c r="AA54" i="4"/>
  <c r="AB54" i="4"/>
  <c r="AC54" i="4"/>
  <c r="AD54" i="4"/>
  <c r="AE54" i="4"/>
  <c r="AF54" i="4"/>
  <c r="AG54" i="4"/>
  <c r="D55" i="4"/>
  <c r="E55" i="4"/>
  <c r="F55" i="4"/>
  <c r="G55" i="4"/>
  <c r="H55" i="4"/>
  <c r="I55" i="4"/>
  <c r="J55" i="4"/>
  <c r="K55" i="4"/>
  <c r="L55" i="4"/>
  <c r="M55" i="4"/>
  <c r="N55" i="4"/>
  <c r="O55" i="4"/>
  <c r="P55" i="4"/>
  <c r="Q55" i="4"/>
  <c r="R55" i="4"/>
  <c r="S55" i="4"/>
  <c r="T55" i="4"/>
  <c r="U55" i="4"/>
  <c r="V55" i="4"/>
  <c r="W55" i="4"/>
  <c r="X55" i="4"/>
  <c r="Y55" i="4"/>
  <c r="Z55" i="4"/>
  <c r="AA55" i="4"/>
  <c r="AB55" i="4"/>
  <c r="AC55" i="4"/>
  <c r="AD55" i="4"/>
  <c r="AE55" i="4"/>
  <c r="AF55" i="4"/>
  <c r="AG55" i="4"/>
  <c r="D56" i="4"/>
  <c r="E56" i="4"/>
  <c r="F56" i="4"/>
  <c r="G56" i="4"/>
  <c r="H56" i="4"/>
  <c r="I56" i="4"/>
  <c r="J56" i="4"/>
  <c r="K56" i="4"/>
  <c r="L56" i="4"/>
  <c r="M56" i="4"/>
  <c r="N56" i="4"/>
  <c r="O56" i="4"/>
  <c r="P56" i="4"/>
  <c r="Q56" i="4"/>
  <c r="R56" i="4"/>
  <c r="S56" i="4"/>
  <c r="T56" i="4"/>
  <c r="U56" i="4"/>
  <c r="V56" i="4"/>
  <c r="W56" i="4"/>
  <c r="X56" i="4"/>
  <c r="Y56" i="4"/>
  <c r="Z56" i="4"/>
  <c r="AA56" i="4"/>
  <c r="AB56" i="4"/>
  <c r="AC56" i="4"/>
  <c r="AD56" i="4"/>
  <c r="AE56" i="4"/>
  <c r="AF56" i="4"/>
  <c r="AG56" i="4"/>
  <c r="D57" i="4"/>
  <c r="E57" i="4"/>
  <c r="F57" i="4"/>
  <c r="G57" i="4"/>
  <c r="H57" i="4"/>
  <c r="I57" i="4"/>
  <c r="J57" i="4"/>
  <c r="K57" i="4"/>
  <c r="L57" i="4"/>
  <c r="M57" i="4"/>
  <c r="N57" i="4"/>
  <c r="O57" i="4"/>
  <c r="P57" i="4"/>
  <c r="Q57" i="4"/>
  <c r="R57" i="4"/>
  <c r="S57" i="4"/>
  <c r="T57" i="4"/>
  <c r="U57" i="4"/>
  <c r="V57" i="4"/>
  <c r="W57" i="4"/>
  <c r="X57" i="4"/>
  <c r="Y57" i="4"/>
  <c r="Z57" i="4"/>
  <c r="AA57" i="4"/>
  <c r="AB57" i="4"/>
  <c r="AC57" i="4"/>
  <c r="AD57" i="4"/>
  <c r="AE57" i="4"/>
  <c r="AF57" i="4"/>
  <c r="AG57" i="4"/>
  <c r="D58" i="4"/>
  <c r="E58" i="4"/>
  <c r="F58" i="4"/>
  <c r="G58" i="4"/>
  <c r="H58" i="4"/>
  <c r="I58" i="4"/>
  <c r="J58" i="4"/>
  <c r="K58" i="4"/>
  <c r="L58" i="4"/>
  <c r="M58" i="4"/>
  <c r="N58" i="4"/>
  <c r="O58" i="4"/>
  <c r="P58" i="4"/>
  <c r="Q58" i="4"/>
  <c r="R58" i="4"/>
  <c r="S58" i="4"/>
  <c r="T58" i="4"/>
  <c r="U58" i="4"/>
  <c r="V58" i="4"/>
  <c r="W58" i="4"/>
  <c r="X58" i="4"/>
  <c r="Y58" i="4"/>
  <c r="Z58" i="4"/>
  <c r="AA58" i="4"/>
  <c r="AB58" i="4"/>
  <c r="AC58" i="4"/>
  <c r="AD58" i="4"/>
  <c r="AE58" i="4"/>
  <c r="AF58" i="4"/>
  <c r="AG58" i="4"/>
  <c r="C48" i="4"/>
  <c r="C49" i="4"/>
  <c r="C50" i="4"/>
  <c r="C51" i="4"/>
  <c r="C52" i="4"/>
  <c r="C53" i="4"/>
  <c r="C54" i="4"/>
  <c r="C55" i="4"/>
  <c r="C56" i="4"/>
  <c r="C57" i="4"/>
  <c r="C58" i="4"/>
  <c r="C47" i="4"/>
  <c r="D39" i="2"/>
  <c r="E39" i="2"/>
  <c r="F39" i="2"/>
  <c r="G39" i="2"/>
  <c r="H39" i="2"/>
  <c r="I39" i="2"/>
  <c r="J39" i="2"/>
  <c r="K39" i="2"/>
  <c r="L39" i="2"/>
  <c r="M39" i="2"/>
  <c r="N39" i="2"/>
  <c r="O39" i="2"/>
  <c r="P39" i="2"/>
  <c r="Q39" i="2"/>
  <c r="R39" i="2"/>
  <c r="S39" i="2"/>
  <c r="T39" i="2"/>
  <c r="U39" i="2"/>
  <c r="V39" i="2"/>
  <c r="W39" i="2"/>
  <c r="X39" i="2"/>
  <c r="Y39" i="2"/>
  <c r="Z39" i="2"/>
  <c r="AA39" i="2"/>
  <c r="AB39" i="2"/>
  <c r="AC39" i="2"/>
  <c r="AD39" i="2"/>
  <c r="AE39" i="2"/>
  <c r="AF39" i="2"/>
  <c r="AG39" i="2"/>
  <c r="D40" i="2"/>
  <c r="E40" i="2"/>
  <c r="B40" i="2" s="1" a="1"/>
  <c r="B40" i="2" s="1"/>
  <c r="F40" i="2"/>
  <c r="G40" i="2"/>
  <c r="H40" i="2"/>
  <c r="I40" i="2"/>
  <c r="J40" i="2"/>
  <c r="K40" i="2"/>
  <c r="L40" i="2"/>
  <c r="M40" i="2"/>
  <c r="N40" i="2"/>
  <c r="O40" i="2"/>
  <c r="P40" i="2"/>
  <c r="Q40" i="2"/>
  <c r="R40" i="2"/>
  <c r="S40" i="2"/>
  <c r="T40" i="2"/>
  <c r="U40" i="2"/>
  <c r="V40" i="2"/>
  <c r="W40" i="2"/>
  <c r="X40" i="2"/>
  <c r="Y40" i="2"/>
  <c r="Z40" i="2"/>
  <c r="AA40" i="2"/>
  <c r="AB40" i="2"/>
  <c r="AC40" i="2"/>
  <c r="AD40" i="2"/>
  <c r="AE40" i="2"/>
  <c r="AF40" i="2"/>
  <c r="AG40" i="2"/>
  <c r="D41" i="2"/>
  <c r="E41" i="2"/>
  <c r="F41" i="2"/>
  <c r="G41" i="2"/>
  <c r="H41" i="2"/>
  <c r="I41" i="2"/>
  <c r="J41" i="2"/>
  <c r="K41" i="2"/>
  <c r="L41" i="2"/>
  <c r="M41" i="2"/>
  <c r="N41" i="2"/>
  <c r="O41" i="2"/>
  <c r="P41" i="2"/>
  <c r="Q41" i="2"/>
  <c r="R41" i="2"/>
  <c r="S41" i="2"/>
  <c r="T41" i="2"/>
  <c r="U41" i="2"/>
  <c r="V41" i="2"/>
  <c r="W41" i="2"/>
  <c r="X41" i="2"/>
  <c r="Y41" i="2"/>
  <c r="Z41" i="2"/>
  <c r="AA41" i="2"/>
  <c r="AB41" i="2"/>
  <c r="AC41" i="2"/>
  <c r="AD41" i="2"/>
  <c r="AE41" i="2"/>
  <c r="AF41" i="2"/>
  <c r="AG41" i="2"/>
  <c r="D42" i="2"/>
  <c r="E42" i="2"/>
  <c r="F42" i="2"/>
  <c r="G42" i="2"/>
  <c r="H42" i="2"/>
  <c r="I42" i="2"/>
  <c r="J42" i="2"/>
  <c r="K42" i="2"/>
  <c r="L42" i="2"/>
  <c r="M42" i="2"/>
  <c r="N42" i="2"/>
  <c r="O42" i="2"/>
  <c r="P42" i="2"/>
  <c r="Q42" i="2"/>
  <c r="R42" i="2"/>
  <c r="S42" i="2"/>
  <c r="T42" i="2"/>
  <c r="U42" i="2"/>
  <c r="V42" i="2"/>
  <c r="W42" i="2"/>
  <c r="X42" i="2"/>
  <c r="Y42" i="2"/>
  <c r="Z42" i="2"/>
  <c r="AA42" i="2"/>
  <c r="AB42" i="2"/>
  <c r="AC42" i="2"/>
  <c r="AD42" i="2"/>
  <c r="AE42" i="2"/>
  <c r="AF42" i="2"/>
  <c r="AG42" i="2"/>
  <c r="D43" i="2"/>
  <c r="E43" i="2"/>
  <c r="F43" i="2"/>
  <c r="G43" i="2"/>
  <c r="H43" i="2"/>
  <c r="I43" i="2"/>
  <c r="J43" i="2"/>
  <c r="K43" i="2"/>
  <c r="L43" i="2"/>
  <c r="M43" i="2"/>
  <c r="N43" i="2"/>
  <c r="O43" i="2"/>
  <c r="P43" i="2"/>
  <c r="Q43" i="2"/>
  <c r="R43" i="2"/>
  <c r="S43" i="2"/>
  <c r="T43" i="2"/>
  <c r="U43" i="2"/>
  <c r="V43" i="2"/>
  <c r="W43" i="2"/>
  <c r="X43" i="2"/>
  <c r="Y43" i="2"/>
  <c r="Z43" i="2"/>
  <c r="AA43" i="2"/>
  <c r="AB43" i="2"/>
  <c r="AC43" i="2"/>
  <c r="AD43" i="2"/>
  <c r="AE43" i="2"/>
  <c r="AF43" i="2"/>
  <c r="AG43" i="2"/>
  <c r="D44" i="2"/>
  <c r="E44" i="2"/>
  <c r="F44" i="2"/>
  <c r="G44" i="2"/>
  <c r="H44" i="2"/>
  <c r="B44" i="2" s="1" a="1"/>
  <c r="B44" i="2" s="1"/>
  <c r="I44" i="2"/>
  <c r="J44" i="2"/>
  <c r="K44" i="2"/>
  <c r="L44" i="2"/>
  <c r="M44" i="2"/>
  <c r="N44" i="2"/>
  <c r="O44" i="2"/>
  <c r="P44" i="2"/>
  <c r="Q44" i="2"/>
  <c r="R44" i="2"/>
  <c r="S44" i="2"/>
  <c r="T44" i="2"/>
  <c r="U44" i="2"/>
  <c r="V44" i="2"/>
  <c r="W44" i="2"/>
  <c r="X44" i="2"/>
  <c r="Y44" i="2"/>
  <c r="Z44" i="2"/>
  <c r="AA44" i="2"/>
  <c r="AB44" i="2"/>
  <c r="AC44" i="2"/>
  <c r="AD44" i="2"/>
  <c r="AE44" i="2"/>
  <c r="AF44" i="2"/>
  <c r="AG44" i="2"/>
  <c r="D45" i="2"/>
  <c r="E45" i="2"/>
  <c r="F45" i="2"/>
  <c r="G45" i="2"/>
  <c r="H45" i="2"/>
  <c r="I45" i="2"/>
  <c r="J45" i="2"/>
  <c r="K45" i="2"/>
  <c r="L45" i="2"/>
  <c r="M45" i="2"/>
  <c r="N45" i="2"/>
  <c r="O45" i="2"/>
  <c r="P45" i="2"/>
  <c r="Q45" i="2"/>
  <c r="R45" i="2"/>
  <c r="S45" i="2"/>
  <c r="T45" i="2"/>
  <c r="U45" i="2"/>
  <c r="V45" i="2"/>
  <c r="W45" i="2"/>
  <c r="X45" i="2"/>
  <c r="Y45" i="2"/>
  <c r="Z45" i="2"/>
  <c r="AA45" i="2"/>
  <c r="AB45" i="2"/>
  <c r="AC45" i="2"/>
  <c r="AD45" i="2"/>
  <c r="AE45" i="2"/>
  <c r="B45" i="2" s="1" a="1"/>
  <c r="B45" i="2" s="1"/>
  <c r="AF45" i="2"/>
  <c r="AG45" i="2"/>
  <c r="D46" i="2"/>
  <c r="B46" i="2" s="1" a="1"/>
  <c r="B46" i="2" s="1"/>
  <c r="E46" i="2"/>
  <c r="F46" i="2"/>
  <c r="G46" i="2"/>
  <c r="H46" i="2"/>
  <c r="I46" i="2"/>
  <c r="J46" i="2"/>
  <c r="K46" i="2"/>
  <c r="L46" i="2"/>
  <c r="M46" i="2"/>
  <c r="N46" i="2"/>
  <c r="O46" i="2"/>
  <c r="P46" i="2"/>
  <c r="Q46" i="2"/>
  <c r="R46" i="2"/>
  <c r="S46" i="2"/>
  <c r="T46" i="2"/>
  <c r="U46" i="2"/>
  <c r="V46" i="2"/>
  <c r="W46" i="2"/>
  <c r="X46" i="2"/>
  <c r="Y46" i="2"/>
  <c r="Z46" i="2"/>
  <c r="AA46" i="2"/>
  <c r="AB46" i="2"/>
  <c r="AC46" i="2"/>
  <c r="AD46" i="2"/>
  <c r="AE46" i="2"/>
  <c r="AF46" i="2"/>
  <c r="AG46" i="2"/>
  <c r="D47" i="2"/>
  <c r="E47" i="2"/>
  <c r="F47" i="2"/>
  <c r="B47" i="2" s="1" a="1"/>
  <c r="B47" i="2" s="1"/>
  <c r="G47" i="2"/>
  <c r="H47" i="2"/>
  <c r="I47" i="2"/>
  <c r="J47" i="2"/>
  <c r="K47" i="2"/>
  <c r="L47" i="2"/>
  <c r="M47" i="2"/>
  <c r="N47" i="2"/>
  <c r="O47" i="2"/>
  <c r="P47" i="2"/>
  <c r="Q47" i="2"/>
  <c r="R47" i="2"/>
  <c r="S47" i="2"/>
  <c r="T47" i="2"/>
  <c r="U47" i="2"/>
  <c r="V47" i="2"/>
  <c r="W47" i="2"/>
  <c r="X47" i="2"/>
  <c r="Y47" i="2"/>
  <c r="Z47" i="2"/>
  <c r="AA47" i="2"/>
  <c r="AB47" i="2"/>
  <c r="AC47" i="2"/>
  <c r="AD47" i="2"/>
  <c r="AE47" i="2"/>
  <c r="AF47" i="2"/>
  <c r="AG47" i="2"/>
  <c r="D48" i="2"/>
  <c r="E48" i="2"/>
  <c r="B48" i="2" s="1" a="1"/>
  <c r="B48" i="2" s="1"/>
  <c r="F48" i="2"/>
  <c r="G48" i="2"/>
  <c r="H48" i="2"/>
  <c r="I48" i="2"/>
  <c r="J48" i="2"/>
  <c r="K48" i="2"/>
  <c r="L48" i="2"/>
  <c r="M48" i="2"/>
  <c r="N48" i="2"/>
  <c r="O48" i="2"/>
  <c r="P48" i="2"/>
  <c r="Q48" i="2"/>
  <c r="R48" i="2"/>
  <c r="S48" i="2"/>
  <c r="T48" i="2"/>
  <c r="U48" i="2"/>
  <c r="V48" i="2"/>
  <c r="W48" i="2"/>
  <c r="X48" i="2"/>
  <c r="Y48" i="2"/>
  <c r="Z48" i="2"/>
  <c r="AA48" i="2"/>
  <c r="AB48" i="2"/>
  <c r="AC48" i="2"/>
  <c r="AD48" i="2"/>
  <c r="AE48" i="2"/>
  <c r="AF48" i="2"/>
  <c r="AG48" i="2"/>
  <c r="D49" i="2"/>
  <c r="E49" i="2"/>
  <c r="F49" i="2"/>
  <c r="G49" i="2"/>
  <c r="H49" i="2"/>
  <c r="I49" i="2"/>
  <c r="J49" i="2"/>
  <c r="K49" i="2"/>
  <c r="L49" i="2"/>
  <c r="M49" i="2"/>
  <c r="N49" i="2"/>
  <c r="O49" i="2"/>
  <c r="P49" i="2"/>
  <c r="Q49" i="2"/>
  <c r="R49" i="2"/>
  <c r="S49" i="2"/>
  <c r="T49" i="2"/>
  <c r="U49" i="2"/>
  <c r="V49" i="2"/>
  <c r="W49" i="2"/>
  <c r="X49" i="2"/>
  <c r="Y49" i="2"/>
  <c r="Z49" i="2"/>
  <c r="AA49" i="2"/>
  <c r="AB49" i="2"/>
  <c r="AC49" i="2"/>
  <c r="AD49" i="2"/>
  <c r="AE49" i="2"/>
  <c r="AF49" i="2"/>
  <c r="AG49" i="2"/>
  <c r="D50" i="2"/>
  <c r="B50" i="2" s="1" a="1"/>
  <c r="B50" i="2" s="1"/>
  <c r="E50" i="2"/>
  <c r="F50" i="2"/>
  <c r="G50" i="2"/>
  <c r="H50" i="2"/>
  <c r="I50" i="2"/>
  <c r="J50" i="2"/>
  <c r="K50" i="2"/>
  <c r="L50" i="2"/>
  <c r="M50" i="2"/>
  <c r="N50" i="2"/>
  <c r="O50" i="2"/>
  <c r="P50" i="2"/>
  <c r="Q50" i="2"/>
  <c r="R50" i="2"/>
  <c r="S50" i="2"/>
  <c r="T50" i="2"/>
  <c r="U50" i="2"/>
  <c r="V50" i="2"/>
  <c r="W50" i="2"/>
  <c r="X50" i="2"/>
  <c r="Y50" i="2"/>
  <c r="Z50" i="2"/>
  <c r="AA50" i="2"/>
  <c r="AB50" i="2"/>
  <c r="AC50" i="2"/>
  <c r="AD50" i="2"/>
  <c r="AE50" i="2"/>
  <c r="AF50" i="2"/>
  <c r="AG50" i="2"/>
  <c r="D51" i="2"/>
  <c r="E51" i="2"/>
  <c r="F51" i="2"/>
  <c r="G51" i="2"/>
  <c r="H51" i="2"/>
  <c r="I51" i="2"/>
  <c r="J51" i="2"/>
  <c r="K51" i="2"/>
  <c r="L51" i="2"/>
  <c r="M51" i="2"/>
  <c r="N51" i="2"/>
  <c r="O51" i="2"/>
  <c r="P51" i="2"/>
  <c r="Q51" i="2"/>
  <c r="R51" i="2"/>
  <c r="S51" i="2"/>
  <c r="T51" i="2"/>
  <c r="U51" i="2"/>
  <c r="V51" i="2"/>
  <c r="W51" i="2"/>
  <c r="X51" i="2"/>
  <c r="Y51" i="2"/>
  <c r="Z51" i="2"/>
  <c r="AA51" i="2"/>
  <c r="AB51" i="2"/>
  <c r="AC51" i="2"/>
  <c r="AD51" i="2"/>
  <c r="AE51" i="2"/>
  <c r="AF51" i="2"/>
  <c r="AG51" i="2"/>
  <c r="D52" i="2"/>
  <c r="E52" i="2"/>
  <c r="F52" i="2"/>
  <c r="G52" i="2"/>
  <c r="H52" i="2"/>
  <c r="I52" i="2"/>
  <c r="J52" i="2"/>
  <c r="K52" i="2"/>
  <c r="L52" i="2"/>
  <c r="M52" i="2"/>
  <c r="N52" i="2"/>
  <c r="O52" i="2"/>
  <c r="P52" i="2"/>
  <c r="Q52" i="2"/>
  <c r="R52" i="2"/>
  <c r="S52" i="2"/>
  <c r="T52" i="2"/>
  <c r="U52" i="2"/>
  <c r="V52" i="2"/>
  <c r="W52" i="2"/>
  <c r="X52" i="2"/>
  <c r="Y52" i="2"/>
  <c r="Z52" i="2"/>
  <c r="AA52" i="2"/>
  <c r="AB52" i="2"/>
  <c r="AC52" i="2"/>
  <c r="AD52" i="2"/>
  <c r="AE52" i="2"/>
  <c r="AF52" i="2"/>
  <c r="AG52" i="2"/>
  <c r="D53" i="2"/>
  <c r="E53" i="2"/>
  <c r="F53" i="2"/>
  <c r="G53" i="2"/>
  <c r="H53" i="2"/>
  <c r="I53" i="2"/>
  <c r="J53" i="2"/>
  <c r="K53" i="2"/>
  <c r="L53" i="2"/>
  <c r="M53" i="2"/>
  <c r="N53" i="2"/>
  <c r="O53" i="2"/>
  <c r="P53" i="2"/>
  <c r="Q53" i="2"/>
  <c r="R53" i="2"/>
  <c r="S53" i="2"/>
  <c r="T53" i="2"/>
  <c r="U53" i="2"/>
  <c r="V53" i="2"/>
  <c r="W53" i="2"/>
  <c r="X53" i="2"/>
  <c r="Y53" i="2"/>
  <c r="Z53" i="2"/>
  <c r="AA53" i="2"/>
  <c r="AB53" i="2"/>
  <c r="AC53" i="2"/>
  <c r="AD53" i="2"/>
  <c r="AE53" i="2"/>
  <c r="AF53" i="2"/>
  <c r="AG53" i="2"/>
  <c r="D54" i="2"/>
  <c r="B54" i="2" s="1" a="1"/>
  <c r="B54" i="2" s="1"/>
  <c r="E54" i="2"/>
  <c r="F54" i="2"/>
  <c r="G54" i="2"/>
  <c r="H54" i="2"/>
  <c r="I54" i="2"/>
  <c r="J54" i="2"/>
  <c r="K54" i="2"/>
  <c r="L54" i="2"/>
  <c r="M54" i="2"/>
  <c r="N54" i="2"/>
  <c r="O54" i="2"/>
  <c r="P54" i="2"/>
  <c r="Q54" i="2"/>
  <c r="R54" i="2"/>
  <c r="S54" i="2"/>
  <c r="T54" i="2"/>
  <c r="U54" i="2"/>
  <c r="V54" i="2"/>
  <c r="W54" i="2"/>
  <c r="X54" i="2"/>
  <c r="Y54" i="2"/>
  <c r="Z54" i="2"/>
  <c r="AA54" i="2"/>
  <c r="AB54" i="2"/>
  <c r="AC54" i="2"/>
  <c r="AD54" i="2"/>
  <c r="AE54" i="2"/>
  <c r="AF54" i="2"/>
  <c r="AG54" i="2"/>
  <c r="D55" i="2"/>
  <c r="E55" i="2"/>
  <c r="F55" i="2"/>
  <c r="G55" i="2"/>
  <c r="H55" i="2"/>
  <c r="I55" i="2"/>
  <c r="J55" i="2"/>
  <c r="K55" i="2"/>
  <c r="L55" i="2"/>
  <c r="M55" i="2"/>
  <c r="N55" i="2"/>
  <c r="O55" i="2"/>
  <c r="P55" i="2"/>
  <c r="Q55" i="2"/>
  <c r="R55" i="2"/>
  <c r="S55" i="2"/>
  <c r="T55" i="2"/>
  <c r="U55" i="2"/>
  <c r="V55" i="2"/>
  <c r="W55" i="2"/>
  <c r="X55" i="2"/>
  <c r="Y55" i="2"/>
  <c r="Z55" i="2"/>
  <c r="AA55" i="2"/>
  <c r="AB55" i="2"/>
  <c r="AC55" i="2"/>
  <c r="AD55" i="2"/>
  <c r="AE55" i="2"/>
  <c r="AF55" i="2"/>
  <c r="AG55" i="2"/>
  <c r="D56" i="2"/>
  <c r="E56" i="2"/>
  <c r="B56" i="2" s="1" a="1"/>
  <c r="B56" i="2" s="1"/>
  <c r="F56" i="2"/>
  <c r="G56" i="2"/>
  <c r="H56" i="2"/>
  <c r="I56" i="2"/>
  <c r="J56" i="2"/>
  <c r="K56" i="2"/>
  <c r="L56" i="2"/>
  <c r="M56" i="2"/>
  <c r="N56" i="2"/>
  <c r="O56" i="2"/>
  <c r="P56" i="2"/>
  <c r="Q56" i="2"/>
  <c r="R56" i="2"/>
  <c r="S56" i="2"/>
  <c r="T56" i="2"/>
  <c r="U56" i="2"/>
  <c r="V56" i="2"/>
  <c r="W56" i="2"/>
  <c r="X56" i="2"/>
  <c r="Y56" i="2"/>
  <c r="Z56" i="2"/>
  <c r="AA56" i="2"/>
  <c r="AB56" i="2"/>
  <c r="AC56" i="2"/>
  <c r="AD56" i="2"/>
  <c r="AE56" i="2"/>
  <c r="AF56" i="2"/>
  <c r="AG56" i="2"/>
  <c r="D57" i="2"/>
  <c r="E57" i="2"/>
  <c r="F57" i="2"/>
  <c r="G57" i="2"/>
  <c r="H57" i="2"/>
  <c r="I57" i="2"/>
  <c r="J57" i="2"/>
  <c r="K57" i="2"/>
  <c r="L57" i="2"/>
  <c r="M57" i="2"/>
  <c r="N57" i="2"/>
  <c r="O57" i="2"/>
  <c r="P57" i="2"/>
  <c r="Q57" i="2"/>
  <c r="R57" i="2"/>
  <c r="S57" i="2"/>
  <c r="T57" i="2"/>
  <c r="U57" i="2"/>
  <c r="V57" i="2"/>
  <c r="W57" i="2"/>
  <c r="X57" i="2"/>
  <c r="Y57" i="2"/>
  <c r="Z57" i="2"/>
  <c r="AA57" i="2"/>
  <c r="AB57" i="2"/>
  <c r="AC57" i="2"/>
  <c r="AD57" i="2"/>
  <c r="AE57" i="2"/>
  <c r="AF57" i="2"/>
  <c r="AG57" i="2"/>
  <c r="C40" i="2"/>
  <c r="C41" i="2"/>
  <c r="C42" i="2"/>
  <c r="C43" i="2"/>
  <c r="C44" i="2"/>
  <c r="C45" i="2"/>
  <c r="C46" i="2"/>
  <c r="C47" i="2"/>
  <c r="C48" i="2"/>
  <c r="C49" i="2"/>
  <c r="C50" i="2"/>
  <c r="C51" i="2"/>
  <c r="C52" i="2"/>
  <c r="C53" i="2"/>
  <c r="C54" i="2"/>
  <c r="C55" i="2"/>
  <c r="C56" i="2"/>
  <c r="C57" i="2"/>
  <c r="C39" i="2"/>
  <c r="D25" i="2"/>
  <c r="E25" i="2"/>
  <c r="F25" i="2"/>
  <c r="G25" i="2"/>
  <c r="H25" i="2"/>
  <c r="I25" i="2"/>
  <c r="J25" i="2"/>
  <c r="K25" i="2"/>
  <c r="L25" i="2"/>
  <c r="M25" i="2"/>
  <c r="N25" i="2"/>
  <c r="O25" i="2"/>
  <c r="P25" i="2"/>
  <c r="Q25" i="2"/>
  <c r="R25" i="2"/>
  <c r="S25" i="2"/>
  <c r="T25" i="2"/>
  <c r="U25" i="2"/>
  <c r="V25" i="2"/>
  <c r="W25" i="2"/>
  <c r="X25" i="2"/>
  <c r="Y25" i="2"/>
  <c r="Z25" i="2"/>
  <c r="AA25" i="2"/>
  <c r="AB25" i="2"/>
  <c r="AC25" i="2"/>
  <c r="AD25" i="2"/>
  <c r="AE25" i="2"/>
  <c r="AF25" i="2"/>
  <c r="AG25" i="2"/>
  <c r="D26" i="2"/>
  <c r="E26" i="2"/>
  <c r="F26" i="2"/>
  <c r="G26" i="2"/>
  <c r="H26" i="2"/>
  <c r="I26" i="2"/>
  <c r="J26" i="2"/>
  <c r="K26" i="2"/>
  <c r="L26" i="2"/>
  <c r="M26" i="2"/>
  <c r="N26" i="2"/>
  <c r="O26" i="2"/>
  <c r="P26" i="2"/>
  <c r="Q26" i="2"/>
  <c r="R26" i="2"/>
  <c r="S26" i="2"/>
  <c r="T26" i="2"/>
  <c r="U26" i="2"/>
  <c r="V26" i="2"/>
  <c r="W26" i="2"/>
  <c r="X26" i="2"/>
  <c r="Y26" i="2"/>
  <c r="Z26" i="2"/>
  <c r="AA26" i="2"/>
  <c r="AB26" i="2"/>
  <c r="AC26" i="2"/>
  <c r="AD26" i="2"/>
  <c r="AE26" i="2"/>
  <c r="AF26" i="2"/>
  <c r="AG26" i="2"/>
  <c r="D27" i="2"/>
  <c r="E27" i="2"/>
  <c r="F27" i="2"/>
  <c r="G27" i="2"/>
  <c r="H27" i="2"/>
  <c r="I27" i="2"/>
  <c r="J27" i="2"/>
  <c r="K27" i="2"/>
  <c r="L27" i="2"/>
  <c r="M27" i="2"/>
  <c r="N27" i="2"/>
  <c r="O27" i="2"/>
  <c r="P27" i="2"/>
  <c r="Q27" i="2"/>
  <c r="R27" i="2"/>
  <c r="S27" i="2"/>
  <c r="T27" i="2"/>
  <c r="U27" i="2"/>
  <c r="V27" i="2"/>
  <c r="W27" i="2"/>
  <c r="X27" i="2"/>
  <c r="Y27" i="2"/>
  <c r="Z27" i="2"/>
  <c r="AA27" i="2"/>
  <c r="AB27" i="2"/>
  <c r="AC27" i="2"/>
  <c r="AD27" i="2"/>
  <c r="AE27" i="2"/>
  <c r="AF27" i="2"/>
  <c r="AG27" i="2"/>
  <c r="D28" i="2"/>
  <c r="E28" i="2"/>
  <c r="F28" i="2"/>
  <c r="G28" i="2"/>
  <c r="H28" i="2"/>
  <c r="I28" i="2"/>
  <c r="J28" i="2"/>
  <c r="K28" i="2"/>
  <c r="L28" i="2"/>
  <c r="M28" i="2"/>
  <c r="N28" i="2"/>
  <c r="O28" i="2"/>
  <c r="P28" i="2"/>
  <c r="Q28" i="2"/>
  <c r="R28" i="2"/>
  <c r="S28" i="2"/>
  <c r="T28" i="2"/>
  <c r="U28" i="2"/>
  <c r="V28" i="2"/>
  <c r="W28" i="2"/>
  <c r="X28" i="2"/>
  <c r="Y28" i="2"/>
  <c r="Z28" i="2"/>
  <c r="AA28" i="2"/>
  <c r="AB28" i="2"/>
  <c r="AC28" i="2"/>
  <c r="AD28" i="2"/>
  <c r="AE28" i="2"/>
  <c r="AF28" i="2"/>
  <c r="AG28" i="2"/>
  <c r="D29" i="2"/>
  <c r="E29" i="2"/>
  <c r="F29" i="2"/>
  <c r="G29" i="2"/>
  <c r="H29" i="2"/>
  <c r="I29" i="2"/>
  <c r="J29" i="2"/>
  <c r="K29" i="2"/>
  <c r="L29" i="2"/>
  <c r="M29" i="2"/>
  <c r="N29" i="2"/>
  <c r="O29" i="2"/>
  <c r="P29" i="2"/>
  <c r="Q29" i="2"/>
  <c r="R29" i="2"/>
  <c r="S29" i="2"/>
  <c r="T29" i="2"/>
  <c r="U29" i="2"/>
  <c r="V29" i="2"/>
  <c r="W29" i="2"/>
  <c r="X29" i="2"/>
  <c r="Y29" i="2"/>
  <c r="Z29" i="2"/>
  <c r="AA29" i="2"/>
  <c r="AB29" i="2"/>
  <c r="AC29" i="2"/>
  <c r="AD29" i="2"/>
  <c r="AE29" i="2"/>
  <c r="AF29" i="2"/>
  <c r="AG29" i="2"/>
  <c r="D30" i="2"/>
  <c r="E30" i="2"/>
  <c r="F30" i="2"/>
  <c r="G30" i="2"/>
  <c r="H30" i="2"/>
  <c r="I30" i="2"/>
  <c r="J30" i="2"/>
  <c r="K30" i="2"/>
  <c r="L30" i="2"/>
  <c r="M30" i="2"/>
  <c r="N30" i="2"/>
  <c r="O30" i="2"/>
  <c r="P30" i="2"/>
  <c r="Q30" i="2"/>
  <c r="R30" i="2"/>
  <c r="S30" i="2"/>
  <c r="T30" i="2"/>
  <c r="U30" i="2"/>
  <c r="V30" i="2"/>
  <c r="W30" i="2"/>
  <c r="X30" i="2"/>
  <c r="Y30" i="2"/>
  <c r="Z30" i="2"/>
  <c r="AA30" i="2"/>
  <c r="AB30" i="2"/>
  <c r="AC30" i="2"/>
  <c r="AD30" i="2"/>
  <c r="AE30" i="2"/>
  <c r="AF30" i="2"/>
  <c r="AG30" i="2"/>
  <c r="D31" i="2"/>
  <c r="E31" i="2"/>
  <c r="F31" i="2"/>
  <c r="G31" i="2"/>
  <c r="H31" i="2"/>
  <c r="I31" i="2"/>
  <c r="J31" i="2"/>
  <c r="K31" i="2"/>
  <c r="L31" i="2"/>
  <c r="M31" i="2"/>
  <c r="N31" i="2"/>
  <c r="O31" i="2"/>
  <c r="P31" i="2"/>
  <c r="Q31" i="2"/>
  <c r="R31" i="2"/>
  <c r="S31" i="2"/>
  <c r="T31" i="2"/>
  <c r="U31" i="2"/>
  <c r="V31" i="2"/>
  <c r="W31" i="2"/>
  <c r="X31" i="2"/>
  <c r="Y31" i="2"/>
  <c r="Z31" i="2"/>
  <c r="AA31" i="2"/>
  <c r="AB31" i="2"/>
  <c r="AC31" i="2"/>
  <c r="AD31" i="2"/>
  <c r="AE31" i="2"/>
  <c r="AF31" i="2"/>
  <c r="AG31" i="2"/>
  <c r="D32" i="2"/>
  <c r="E32" i="2"/>
  <c r="F32" i="2"/>
  <c r="G32" i="2"/>
  <c r="H32" i="2"/>
  <c r="I32" i="2"/>
  <c r="J32" i="2"/>
  <c r="K32" i="2"/>
  <c r="L32" i="2"/>
  <c r="M32" i="2"/>
  <c r="N32" i="2"/>
  <c r="O32" i="2"/>
  <c r="P32" i="2"/>
  <c r="Q32" i="2"/>
  <c r="R32" i="2"/>
  <c r="S32" i="2"/>
  <c r="T32" i="2"/>
  <c r="U32" i="2"/>
  <c r="V32" i="2"/>
  <c r="W32" i="2"/>
  <c r="X32" i="2"/>
  <c r="Y32" i="2"/>
  <c r="Z32" i="2"/>
  <c r="AA32" i="2"/>
  <c r="AB32" i="2"/>
  <c r="AC32" i="2"/>
  <c r="AD32" i="2"/>
  <c r="AE32" i="2"/>
  <c r="AF32" i="2"/>
  <c r="AG32" i="2"/>
  <c r="D33" i="2"/>
  <c r="E33" i="2"/>
  <c r="F33" i="2"/>
  <c r="G33" i="2"/>
  <c r="H33" i="2"/>
  <c r="I33" i="2"/>
  <c r="J33" i="2"/>
  <c r="K33" i="2"/>
  <c r="L33" i="2"/>
  <c r="M33" i="2"/>
  <c r="N33" i="2"/>
  <c r="O33" i="2"/>
  <c r="P33" i="2"/>
  <c r="Q33" i="2"/>
  <c r="R33" i="2"/>
  <c r="S33" i="2"/>
  <c r="T33" i="2"/>
  <c r="U33" i="2"/>
  <c r="V33" i="2"/>
  <c r="W33" i="2"/>
  <c r="X33" i="2"/>
  <c r="Y33" i="2"/>
  <c r="Z33" i="2"/>
  <c r="AA33" i="2"/>
  <c r="AB33" i="2"/>
  <c r="AC33" i="2"/>
  <c r="AD33" i="2"/>
  <c r="AE33" i="2"/>
  <c r="AF33" i="2"/>
  <c r="AG33" i="2"/>
  <c r="D34" i="2"/>
  <c r="E34" i="2"/>
  <c r="F34" i="2"/>
  <c r="G34" i="2"/>
  <c r="H34" i="2"/>
  <c r="I34" i="2"/>
  <c r="J34" i="2"/>
  <c r="K34" i="2"/>
  <c r="L34" i="2"/>
  <c r="M34" i="2"/>
  <c r="N34" i="2"/>
  <c r="O34" i="2"/>
  <c r="P34" i="2"/>
  <c r="Q34" i="2"/>
  <c r="R34" i="2"/>
  <c r="S34" i="2"/>
  <c r="T34" i="2"/>
  <c r="U34" i="2"/>
  <c r="V34" i="2"/>
  <c r="W34" i="2"/>
  <c r="X34" i="2"/>
  <c r="Y34" i="2"/>
  <c r="Z34" i="2"/>
  <c r="AA34" i="2"/>
  <c r="AB34" i="2"/>
  <c r="AC34" i="2"/>
  <c r="AD34" i="2"/>
  <c r="AE34" i="2"/>
  <c r="AF34" i="2"/>
  <c r="AG34" i="2"/>
  <c r="D35" i="2"/>
  <c r="E35" i="2"/>
  <c r="F35" i="2"/>
  <c r="G35" i="2"/>
  <c r="H35" i="2"/>
  <c r="I35" i="2"/>
  <c r="J35" i="2"/>
  <c r="K35" i="2"/>
  <c r="L35" i="2"/>
  <c r="M35" i="2"/>
  <c r="N35" i="2"/>
  <c r="O35" i="2"/>
  <c r="P35" i="2"/>
  <c r="Q35" i="2"/>
  <c r="R35" i="2"/>
  <c r="S35" i="2"/>
  <c r="T35" i="2"/>
  <c r="U35" i="2"/>
  <c r="V35" i="2"/>
  <c r="W35" i="2"/>
  <c r="X35" i="2"/>
  <c r="Y35" i="2"/>
  <c r="Z35" i="2"/>
  <c r="AA35" i="2"/>
  <c r="AB35" i="2"/>
  <c r="AC35" i="2"/>
  <c r="AD35" i="2"/>
  <c r="AE35" i="2"/>
  <c r="AF35" i="2"/>
  <c r="AG35" i="2"/>
  <c r="D36" i="2"/>
  <c r="E36" i="2"/>
  <c r="F36" i="2"/>
  <c r="G36" i="2"/>
  <c r="H36" i="2"/>
  <c r="I36" i="2"/>
  <c r="J36" i="2"/>
  <c r="K36" i="2"/>
  <c r="L36" i="2"/>
  <c r="M36" i="2"/>
  <c r="N36" i="2"/>
  <c r="O36" i="2"/>
  <c r="P36" i="2"/>
  <c r="Q36" i="2"/>
  <c r="R36" i="2"/>
  <c r="S36" i="2"/>
  <c r="T36" i="2"/>
  <c r="U36" i="2"/>
  <c r="V36" i="2"/>
  <c r="W36" i="2"/>
  <c r="X36" i="2"/>
  <c r="Y36" i="2"/>
  <c r="Z36" i="2"/>
  <c r="AA36" i="2"/>
  <c r="AB36" i="2"/>
  <c r="AC36" i="2"/>
  <c r="AD36" i="2"/>
  <c r="AE36" i="2"/>
  <c r="AF36" i="2"/>
  <c r="AG36" i="2"/>
  <c r="C26" i="2"/>
  <c r="C27" i="2"/>
  <c r="C28" i="2"/>
  <c r="C29" i="2"/>
  <c r="C30" i="2"/>
  <c r="C31" i="2"/>
  <c r="C32" i="2"/>
  <c r="C33" i="2"/>
  <c r="C34" i="2"/>
  <c r="C35" i="2"/>
  <c r="C36" i="2"/>
  <c r="C25" i="2"/>
  <c r="E101" i="4"/>
  <c r="C101" i="4"/>
  <c r="B101" i="4"/>
  <c r="D101" i="4" s="1"/>
  <c r="F101" i="4" s="1"/>
  <c r="D100" i="4"/>
  <c r="F100" i="4" s="1"/>
  <c r="C100" i="4"/>
  <c r="E100" i="4" s="1"/>
  <c r="B100" i="4"/>
  <c r="E99" i="4"/>
  <c r="D99" i="4"/>
  <c r="F99" i="4" s="1"/>
  <c r="C99" i="4"/>
  <c r="B99" i="4"/>
  <c r="D98" i="4"/>
  <c r="F98" i="4" s="1"/>
  <c r="C98" i="4"/>
  <c r="E98" i="4" s="1"/>
  <c r="B98" i="4"/>
  <c r="C97" i="4"/>
  <c r="E97" i="4" s="1"/>
  <c r="B97" i="4"/>
  <c r="D97" i="4" s="1"/>
  <c r="F97" i="4" s="1"/>
  <c r="C96" i="4"/>
  <c r="E96" i="4" s="1"/>
  <c r="F96" i="4" s="1"/>
  <c r="E95" i="4"/>
  <c r="C95" i="4"/>
  <c r="B95" i="4"/>
  <c r="D95" i="4" s="1"/>
  <c r="F95" i="4" s="1"/>
  <c r="D94" i="4"/>
  <c r="C94" i="4"/>
  <c r="E94" i="4" s="1"/>
  <c r="F94" i="4" s="1"/>
  <c r="B94" i="4"/>
  <c r="E93" i="4"/>
  <c r="D93" i="4"/>
  <c r="F93" i="4" s="1"/>
  <c r="C93" i="4"/>
  <c r="B93" i="4"/>
  <c r="F92" i="4"/>
  <c r="E92" i="4"/>
  <c r="D92" i="4"/>
  <c r="C92" i="4"/>
  <c r="B92" i="4"/>
  <c r="E91" i="4"/>
  <c r="C91" i="4"/>
  <c r="B91" i="4"/>
  <c r="D91" i="4" s="1"/>
  <c r="F91" i="4" s="1"/>
  <c r="D90" i="4"/>
  <c r="F90" i="4" s="1"/>
  <c r="C90" i="4"/>
  <c r="E90" i="4" s="1"/>
  <c r="B90" i="4"/>
  <c r="E89" i="4"/>
  <c r="D89" i="4"/>
  <c r="F89" i="4" s="1"/>
  <c r="C89" i="4"/>
  <c r="B89" i="4"/>
  <c r="D88" i="4"/>
  <c r="C88" i="4"/>
  <c r="E88" i="4" s="1"/>
  <c r="B88" i="4"/>
  <c r="C87" i="4"/>
  <c r="E87" i="4" s="1"/>
  <c r="B87" i="4"/>
  <c r="D87" i="4" s="1"/>
  <c r="D86" i="4"/>
  <c r="F86" i="4" s="1"/>
  <c r="C86" i="4"/>
  <c r="E86" i="4" s="1"/>
  <c r="B86" i="4"/>
  <c r="C85" i="4"/>
  <c r="E85" i="4" s="1"/>
  <c r="B85" i="4"/>
  <c r="D85" i="4" s="1"/>
  <c r="F85" i="4" s="1"/>
  <c r="E84" i="4"/>
  <c r="C84" i="4"/>
  <c r="B84" i="4"/>
  <c r="D84" i="4" s="1"/>
  <c r="F84" i="4" s="1"/>
  <c r="C83" i="4"/>
  <c r="E83" i="4" s="1"/>
  <c r="B83" i="4"/>
  <c r="D83" i="4" s="1"/>
  <c r="B66" i="4" l="1" a="1"/>
  <c r="B66" i="4" s="1"/>
  <c r="B65" i="4" a="1"/>
  <c r="B65" i="4" s="1"/>
  <c r="B61" i="4" a="1"/>
  <c r="B61" i="4" s="1"/>
  <c r="B64" i="4" a="1"/>
  <c r="B64" i="4" s="1"/>
  <c r="B79" i="4" a="1"/>
  <c r="B79" i="4" s="1"/>
  <c r="B63" i="4" a="1"/>
  <c r="B63" i="4" s="1"/>
  <c r="B76" i="4" a="1"/>
  <c r="B76" i="4" s="1"/>
  <c r="B77" i="4" a="1"/>
  <c r="B77" i="4" s="1"/>
  <c r="B73" i="4" a="1"/>
  <c r="B73" i="4" s="1"/>
  <c r="B72" i="4" a="1"/>
  <c r="B72" i="4" s="1"/>
  <c r="B71" i="4" a="1"/>
  <c r="B71" i="4" s="1"/>
  <c r="B43" i="2" a="1"/>
  <c r="B43" i="2" s="1"/>
  <c r="B39" i="2" a="1"/>
  <c r="B39" i="2" s="1"/>
  <c r="B42" i="2" a="1"/>
  <c r="B42" i="2" s="1"/>
  <c r="B57" i="2" a="1"/>
  <c r="B57" i="2" s="1"/>
  <c r="B41" i="2" a="1"/>
  <c r="B41" i="2" s="1"/>
  <c r="B55" i="2" a="1"/>
  <c r="B55" i="2" s="1"/>
  <c r="B53" i="2" a="1"/>
  <c r="B53" i="2" s="1"/>
  <c r="B52" i="2" a="1"/>
  <c r="B52" i="2" s="1"/>
  <c r="B51" i="2" a="1"/>
  <c r="B51" i="2" s="1"/>
  <c r="B49" i="2" a="1"/>
  <c r="B49" i="2" s="1"/>
  <c r="F88" i="4"/>
  <c r="F87"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<sst xmlns="http://schemas.openxmlformats.org/spreadsheetml/2006/main" count="2157" uniqueCount="97">
  <si>
    <t>Demand Table</t>
  </si>
  <si>
    <t>Zone</t>
  </si>
  <si>
    <t>Shift</t>
  </si>
  <si>
    <t>Day 1</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</si>
  <si>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</si>
  <si>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</si>
  <si>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</si>
  <si>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</si>
  <si>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</si>
  <si>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</si>
  <si>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</si>
  <si>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</si>
  <si>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</si>
  <si>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</si>
  <si>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</si>
  <si>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</si>
  <si>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</si>
  <si>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</si>
  <si>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</si>
  <si>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</si>
  <si>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</si>
  <si>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</si>
  <si>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</si>
  <si>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</si>
  <si>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</si>
  <si>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</si>
  <si>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</si>
  <si>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</si>
  <si>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</si>
  <si>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</si>
  <si>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</si>
  <si>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</si>
  <si>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</si>
  <si>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Day 31</t>
  </si>
  <si>
    <t>Cargo</t>
  </si>
  <si>
    <t>M</t>
  </si>
  <si>
    <t>A</t>
  </si>
  <si>
    <t>N</t>
  </si>
  <si>
    <t>Pax</t>
  </si>
  <si>
    <t>Vehicles</t>
  </si>
  <si>
    <t>Train</t>
  </si>
  <si>
    <r>
      <rPr>
        <sz val="10"/>
        <color theme="1"/>
        <rFont val="Arial"/>
        <family val="2"/>
      </rPr>
      <t xml:space="preserve">In this Test Case, a Transportation company named "Happy Logistics" hires you to develop a small program, using your </t>
    </r>
    <r>
      <rPr>
        <b/>
        <sz val="10"/>
        <color theme="1"/>
        <rFont val="Arial"/>
        <family val="2"/>
      </rPr>
      <t>favourite programming language</t>
    </r>
    <r>
      <rPr>
        <sz val="10"/>
        <color theme="1"/>
        <rFont val="Arial"/>
        <family val="2"/>
      </rPr>
      <t>, to generate Rosters with Zone Assignment for their senior staffs. Below rules have to be guaranteed:</t>
    </r>
  </si>
  <si>
    <t>Staffs have to be assigned to Zone by the following Rotation rule: Cargo -&gt; Pax -&gt; Vehicles -&gt; Train. Then restart at Cargo.</t>
  </si>
  <si>
    <t>Q1.</t>
  </si>
  <si>
    <t>Q2</t>
  </si>
  <si>
    <t>Importance</t>
  </si>
  <si>
    <t>2. Please submit your source code together with the Answer sheets</t>
  </si>
  <si>
    <t>Schedule Table</t>
  </si>
  <si>
    <t>Staff 1</t>
  </si>
  <si>
    <t>O</t>
  </si>
  <si>
    <t>Staff 2</t>
  </si>
  <si>
    <t>Staff 3</t>
  </si>
  <si>
    <t>Staff 4</t>
  </si>
  <si>
    <t>Staff 5</t>
  </si>
  <si>
    <t>Staff 6</t>
  </si>
  <si>
    <t>Staff 7</t>
  </si>
  <si>
    <t>Staff 8</t>
  </si>
  <si>
    <t>Staff 9</t>
  </si>
  <si>
    <t>Staff 10</t>
  </si>
  <si>
    <t>Staff 11</t>
  </si>
  <si>
    <t>Staff 12</t>
  </si>
  <si>
    <t>Staff 13</t>
  </si>
  <si>
    <t>Staff 14</t>
  </si>
  <si>
    <t>Staff 15</t>
  </si>
  <si>
    <t>Staff 16</t>
  </si>
  <si>
    <t>Staff 17</t>
  </si>
  <si>
    <t>Staff 18</t>
  </si>
  <si>
    <t>Staff 19</t>
  </si>
  <si>
    <t>Zone Assignment Statistics</t>
  </si>
  <si>
    <t>Staff Statistics</t>
  </si>
  <si>
    <t>M Pax</t>
  </si>
  <si>
    <t>N Pax</t>
  </si>
  <si>
    <t>A Pax</t>
  </si>
  <si>
    <t>M Cargo</t>
  </si>
  <si>
    <t>N Cargo</t>
  </si>
  <si>
    <t>A Cargo</t>
  </si>
  <si>
    <t>M Train</t>
  </si>
  <si>
    <t>N Train</t>
  </si>
  <si>
    <t>A Train</t>
  </si>
  <si>
    <t>M Vehicles</t>
  </si>
  <si>
    <t>N Vehicles</t>
  </si>
  <si>
    <t>A Vehicles</t>
  </si>
  <si>
    <t>Previous Month Schedule Table</t>
  </si>
  <si>
    <t>Staff's Zone Rotation Statistics</t>
  </si>
  <si>
    <t>Pre</t>
  </si>
  <si>
    <t>This</t>
  </si>
  <si>
    <t>Pre Idx</t>
  </si>
  <si>
    <t>This Idx</t>
  </si>
  <si>
    <r>
      <rPr>
        <sz val="10"/>
        <color theme="1"/>
        <rFont val="Arial"/>
        <family val="2"/>
      </rPr>
      <t xml:space="preserve">You are </t>
    </r>
    <r>
      <rPr>
        <b/>
        <sz val="10"/>
        <color theme="1"/>
        <rFont val="Arial"/>
        <family val="2"/>
      </rPr>
      <t>not allowed</t>
    </r>
    <r>
      <rPr>
        <sz val="10"/>
        <color theme="1"/>
        <rFont val="Arial"/>
        <family val="2"/>
      </rPr>
      <t xml:space="preserve"> to change the staffs' Shift Roster in Schedule Table, an example of Shift Roster is shown from Rows 2 through 21 in Schedule Table in "Q1 Answer" sheet</t>
    </r>
    <r>
      <rPr>
        <sz val="10"/>
        <color theme="1"/>
        <rFont val="Arial"/>
        <family val="2"/>
        <scheme val="minor"/>
      </rPr>
      <t>.</t>
    </r>
  </si>
  <si>
    <r>
      <t xml:space="preserve">Your job is to </t>
    </r>
    <r>
      <rPr>
        <b/>
        <sz val="10"/>
        <color theme="1"/>
        <rFont val="Arial"/>
        <family val="2"/>
      </rPr>
      <t>assign Zone</t>
    </r>
    <r>
      <rPr>
        <sz val="10"/>
        <color theme="1"/>
        <rFont val="Arial"/>
        <family val="2"/>
      </rPr>
      <t xml:space="preserve"> to staffs in Schedule Table. The format is Shift + [Space] + Zone.</t>
    </r>
  </si>
  <si>
    <r>
      <rPr>
        <sz val="10"/>
        <color theme="1"/>
        <rFont val="Arial"/>
        <family val="2"/>
      </rPr>
      <t xml:space="preserve">The assignments have to fulfill demand in Demand Table. All demands have to get </t>
    </r>
    <r>
      <rPr>
        <b/>
        <sz val="10"/>
        <color theme="1"/>
        <rFont val="Arial"/>
        <family val="2"/>
      </rPr>
      <t>Passed</t>
    </r>
    <r>
      <rPr>
        <sz val="10"/>
        <color theme="1"/>
        <rFont val="Arial"/>
        <family val="2"/>
      </rPr>
      <t xml:space="preserve"> in </t>
    </r>
    <r>
      <rPr>
        <b/>
        <sz val="10"/>
        <color theme="1"/>
        <rFont val="Arial"/>
        <family val="2"/>
      </rPr>
      <t>Zone Assignment Statistics.</t>
    </r>
  </si>
  <si>
    <r>
      <rPr>
        <sz val="10"/>
        <color theme="1"/>
        <rFont val="Arial"/>
        <family val="2"/>
      </rPr>
      <t xml:space="preserve">There are 4 Zones: Cargo, Pax, Vehicles and Train. Once a staffs is assgined to a Zone, the staff has to work at the Zone for the </t>
    </r>
    <r>
      <rPr>
        <b/>
        <sz val="10"/>
        <color theme="1"/>
        <rFont val="Arial"/>
        <family val="2"/>
      </rPr>
      <t>whole month</t>
    </r>
    <r>
      <rPr>
        <sz val="10"/>
        <color theme="1"/>
        <rFont val="Arial"/>
        <family val="2"/>
        <scheme val="minor"/>
      </rPr>
      <t>.</t>
    </r>
  </si>
  <si>
    <t>Example: if a staff would be assigned to Cargo zone in June, the staff would have to go to Pax zone in July, then Vehicles zone in August, then Train in September. After that the staff could be back to Cargo in October.</t>
  </si>
  <si>
    <r>
      <t xml:space="preserve">Use "Q1 Answer" as the template to do your Zone assignment for staffs in Schedule Tab. All cells in Zone Assignment Statistics and Staff Statistics have to </t>
    </r>
    <r>
      <rPr>
        <b/>
        <sz val="10"/>
        <color theme="1"/>
        <rFont val="Arial"/>
        <family val="2"/>
      </rPr>
      <t>Passed</t>
    </r>
    <r>
      <rPr>
        <sz val="10"/>
        <color theme="1"/>
        <rFont val="Arial"/>
        <family val="2"/>
      </rPr>
      <t>.</t>
    </r>
  </si>
  <si>
    <t>This Question uses sheet "Q2 Answer". Given a previous month Zone assignment as shown in Previous Month Schedule Table. Please assign according Zones for staffs in Schedule Tab.</t>
  </si>
  <si>
    <r>
      <t xml:space="preserve">All cells in Zone Assignment Statistics, Staff Statistics and Staff's Zone Rotation Statistics have to </t>
    </r>
    <r>
      <rPr>
        <b/>
        <sz val="10"/>
        <color theme="1"/>
        <rFont val="Arial"/>
        <family val="2"/>
      </rPr>
      <t>Passed</t>
    </r>
    <r>
      <rPr>
        <sz val="10"/>
        <color theme="1"/>
        <rFont val="Arial"/>
        <family val="2"/>
      </rPr>
      <t>.</t>
    </r>
  </si>
  <si>
    <r>
      <rPr>
        <sz val="10"/>
        <color theme="1"/>
        <rFont val="Arial"/>
        <family val="2"/>
      </rPr>
      <t xml:space="preserve">1. Your assignment solutions in "Q1 Answer" and "Q2 Answer" sheets are </t>
    </r>
    <r>
      <rPr>
        <b/>
        <sz val="10"/>
        <color theme="1"/>
        <rFont val="Arial"/>
        <family val="2"/>
      </rPr>
      <t>not allowed</t>
    </r>
    <r>
      <rPr>
        <sz val="10"/>
        <color theme="1"/>
        <rFont val="Arial"/>
        <family val="2"/>
      </rPr>
      <t xml:space="preserve"> to be </t>
    </r>
    <r>
      <rPr>
        <b/>
        <sz val="10"/>
        <color theme="1"/>
        <rFont val="Arial"/>
        <family val="2"/>
      </rPr>
      <t>exactly</t>
    </r>
    <r>
      <rPr>
        <sz val="10"/>
        <color theme="1"/>
        <rFont val="Arial"/>
        <family val="2"/>
      </rPr>
      <t xml:space="preserve"> </t>
    </r>
    <r>
      <rPr>
        <b/>
        <sz val="10"/>
        <color theme="1"/>
        <rFont val="Arial"/>
        <family val="2"/>
      </rPr>
      <t>the same</t>
    </r>
    <r>
      <rPr>
        <sz val="10"/>
        <color theme="1"/>
        <rFont val="Arial"/>
        <family val="2"/>
      </rPr>
      <t xml:space="preserve"> with those of their Passed Examples</t>
    </r>
    <r>
      <rPr>
        <sz val="10"/>
        <color theme="1"/>
        <rFont val="Arial"/>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</si>
</sst>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0"/>
      <color theme="1"/>
      <name val="Arial"/>
      <family val="2"/>
      <scheme val="minor"/>
    </font>
    <font>
      <sz val="10"/>
      <color theme="1"/>
      <name val="Arial"/>
      <family val="2"/>
      <scheme val="minor"/>
    </font>
    <font>
      <sz val="10"/>
      <color rgb="FF000000"/>
      <name val="Roboto"/>
    </font>
    <font>
      <sz val="10"/>
      <color theme="1"/>
      <name val="Arial"/>
      <family val="2"/>
    </font>
    <font>
      <b/>
      <sz val="10"/>
      <color theme="1"/>
      <name val="Arial"/>
      <family val="2"/>
    </font>
  </fonts>
  <fills count="3">
    <fill>
      <patternFill patternType="none"/>
    </fill>
    <fill>
      <patternFill patternType="gray125"/>
    </fill>
    <fill>
      <patternFill patternType="solid">
        <fgColor rgb="FFFFFFFF"/>
        <bgColor rgb="FFFFFFFF"/>
      </patternFill>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cellStyleXfs>
  <cellXfs count="32">
    <xf numFmtId="0" fontId="0" fillId="0" borderId="0" xfId="0"/>
    <xf numFmtId="0" fontId="1" fillId="0" borderId="0" xfId="0" applyFont="1"/>
    <xf numFmtId="0" fontId="1" fillId="0" borderId="1" xfId="0" applyFont="1" applyBorder="1"/>
    <xf numFmtId="0" fontId="1" fillId="0" borderId="2" xfId="0" applyFont="1" applyBorder="1" applyAlignment="1">
      <alignment horizontal="center"/>
    </xf>
    <xf numFmtId="0" fontId="1" fillId="0" borderId="3" xfId="0" applyFont="1" applyBorder="1" applyAlignment="1">
      <alignment horizontal="center"/>
    </xf>
    <xf numFmtId="0" fontId="2" fillId="0" borderId="4" xfId="0" applyFont="1" applyBorder="1" applyAlignment="1">
      <alignment horizontal="center" vertical="center"/>
    </xf>
    <xf numFmtId="0" fontId="2" fillId="0" borderId="0" xfId="0" applyFont="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3" fillId="2" borderId="0" xfId="0" applyFont="1" applyFill="1" applyAlignment="1">
      <alignment horizontal="center"/>
    </xf>
    <xf numFmtId="0" fontId="3" fillId="2" borderId="4" xfId="0" applyFont="1" applyFill="1" applyBorder="1" applyAlignment="1">
      <alignment horizontal="center"/>
    </xf>
    <xf numFmtId="0" fontId="3" fillId="2" borderId="11" xfId="0" applyFont="1" applyFill="1" applyBorder="1" applyAlignment="1">
      <alignment horizontal="center"/>
    </xf>
    <xf numFmtId="0" fontId="2" fillId="0" borderId="0" xfId="0" applyFont="1"/>
    <xf numFmtId="0" fontId="1" fillId="0" borderId="0" xfId="0" applyFont="1" applyAlignment="1">
      <alignment horizontal="center"/>
    </xf>
    <xf numFmtId="0" fontId="1" fillId="0" borderId="10"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4" xfId="0" applyFont="1" applyBorder="1"/>
    <xf numFmtId="0" fontId="1" fillId="0" borderId="11" xfId="0" applyFont="1" applyBorder="1"/>
    <xf numFmtId="0" fontId="1" fillId="0" borderId="1" xfId="0" applyFont="1" applyBorder="1" applyAlignment="1">
      <alignment horizontal="center"/>
    </xf>
    <xf numFmtId="0" fontId="1" fillId="0" borderId="10" xfId="0" applyFont="1" applyBorder="1"/>
    <xf numFmtId="0" fontId="2" fillId="0" borderId="5" xfId="0" applyFont="1" applyBorder="1"/>
    <xf numFmtId="0" fontId="1" fillId="0" borderId="5" xfId="0" applyFont="1" applyBorder="1"/>
    <xf numFmtId="0" fontId="2" fillId="0" borderId="6" xfId="0" applyFont="1" applyBorder="1"/>
    <xf numFmtId="0" fontId="2" fillId="0" borderId="7" xfId="0" applyFont="1" applyBorder="1"/>
    <xf numFmtId="0" fontId="2" fillId="0" borderId="8" xfId="0" applyFont="1" applyBorder="1"/>
    <xf numFmtId="0" fontId="4" fillId="0" borderId="0" xfId="0" applyFont="1"/>
  </cellXfs>
  <cellStyles count="1">
    <cellStyle name="Normal" xfId="0" builtinId="0"/>
  </cellStyles>
  <dxfs count="18">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F9900"/>
          <bgColor rgb="FFFF9900"/>
        </patternFill>
      </fill>
    </dxf>
    <dxf>
      <fill>
        <patternFill patternType="solid">
          <fgColor rgb="FFFF00FF"/>
          <bgColor rgb="FFFF00FF"/>
        </patternFill>
      </fill>
    </dxf>
    <dxf>
      <fill>
        <patternFill patternType="solid">
          <fgColor rgb="FF00FFFF"/>
          <bgColor rgb="FF00FFFF"/>
        </patternFill>
      </fill>
    </dxf>
    <dxf>
      <fill>
        <patternFill patternType="solid">
          <fgColor rgb="FFD9D9D9"/>
          <bgColor rgb="FFD9D9D9"/>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B7E1CD"/>
          <bgColor rgb="FFB7E1CD"/>
        </patternFill>
      </fill>
    </dxf>
    <dxf>
      <fill>
        <patternFill patternType="solid">
          <fgColor rgb="FFFF9900"/>
          <bgColor rgb="FFFF9900"/>
        </patternFill>
      </fill>
    </dxf>
    <dxf>
      <fill>
        <patternFill patternType="solid">
          <fgColor rgb="FFFF00FF"/>
          <bgColor rgb="FFFF00FF"/>
        </patternFill>
      </fill>
    </dxf>
    <dxf>
      <fill>
        <patternFill patternType="solid">
          <fgColor rgb="FF00FFFF"/>
          <bgColor rgb="FF00FFFF"/>
        </patternFill>
      </fill>
    </dxf>
    <dxf>
      <fill>
        <patternFill patternType="solid">
          <fgColor rgb="FFD9D9D9"/>
          <bgColor rgb="FFD9D9D9"/>
        </patternFill>
      </fill>
    </dxf>
    <dxf>
      <fill>
        <patternFill patternType="solid">
          <fgColor rgb="FFF4CCCC"/>
          <bgColor rgb="FFF4CCCC"/>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32"/>
  <sheetViews>
    <sheetView tabSelected="1" topLeftCell="A13" workbookViewId="0">
      <selection activeCell="A32" sqref="A32"/>
    </sheetView>
  </sheetViews>
  <sheetFormatPr defaultColWidth="12.6640625" defaultRowHeight="15.75" customHeight="1" x14ac:dyDescent="0.25"/>
  <cols>
    <col min="1" max="1" width="6.44140625" customWidth="1"/>
    <col min="2" max="35" width="6.6640625" customWidth="1"/>
  </cols>
  <sheetData>
    <row r="1" spans="1:33" x14ac:dyDescent="0.25">
      <c r="A1" s="1" t="s">
        <v>0</v>
      </c>
    </row>
    <row r="2" spans="1:33" x14ac:dyDescent="0.25">
      <c r="A2" s="2"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3" t="s">
        <v>26</v>
      </c>
      <c r="AA2" s="3" t="s">
        <v>27</v>
      </c>
      <c r="AB2" s="3" t="s">
        <v>28</v>
      </c>
      <c r="AC2" s="3" t="s">
        <v>29</v>
      </c>
      <c r="AD2" s="3" t="s">
        <v>30</v>
      </c>
      <c r="AE2" s="3" t="s">
        <v>31</v>
      </c>
      <c r="AF2" s="3" t="s">
        <v>32</v>
      </c>
      <c r="AG2" s="4" t="s">
        <v>33</v>
      </c>
    </row>
    <row r="3" spans="1:33" x14ac:dyDescent="0.25">
      <c r="A3" s="5" t="s">
        <v>34</v>
      </c>
      <c r="B3" s="6" t="s">
        <v>35</v>
      </c>
      <c r="C3" s="7">
        <v>1</v>
      </c>
      <c r="D3" s="7">
        <v>1</v>
      </c>
      <c r="E3" s="7">
        <v>1</v>
      </c>
      <c r="F3" s="7">
        <v>1</v>
      </c>
      <c r="G3" s="7">
        <v>1</v>
      </c>
      <c r="H3" s="7">
        <v>1</v>
      </c>
      <c r="I3" s="7">
        <v>1</v>
      </c>
      <c r="J3" s="7">
        <v>1</v>
      </c>
      <c r="K3" s="7">
        <v>1</v>
      </c>
      <c r="L3" s="7">
        <v>1</v>
      </c>
      <c r="M3" s="7">
        <v>1</v>
      </c>
      <c r="N3" s="7">
        <v>1</v>
      </c>
      <c r="O3" s="7">
        <v>1</v>
      </c>
      <c r="P3" s="7">
        <v>1</v>
      </c>
      <c r="Q3" s="7">
        <v>1</v>
      </c>
      <c r="R3" s="7">
        <v>1</v>
      </c>
      <c r="S3" s="7">
        <v>1</v>
      </c>
      <c r="T3" s="7">
        <v>1</v>
      </c>
      <c r="U3" s="7">
        <v>1</v>
      </c>
      <c r="V3" s="7">
        <v>1</v>
      </c>
      <c r="W3" s="7">
        <v>1</v>
      </c>
      <c r="X3" s="7">
        <v>1</v>
      </c>
      <c r="Y3" s="7">
        <v>1</v>
      </c>
      <c r="Z3" s="7">
        <v>1</v>
      </c>
      <c r="AA3" s="7">
        <v>1</v>
      </c>
      <c r="AB3" s="7">
        <v>1</v>
      </c>
      <c r="AC3" s="7">
        <v>1</v>
      </c>
      <c r="AD3" s="7">
        <v>1</v>
      </c>
      <c r="AE3" s="7">
        <v>1</v>
      </c>
      <c r="AF3" s="7">
        <v>1</v>
      </c>
      <c r="AG3" s="8">
        <v>1</v>
      </c>
    </row>
    <row r="4" spans="1:33" x14ac:dyDescent="0.25">
      <c r="A4" s="5" t="s">
        <v>34</v>
      </c>
      <c r="B4" s="6" t="s">
        <v>36</v>
      </c>
      <c r="C4" s="6">
        <v>1</v>
      </c>
      <c r="D4" s="6">
        <v>1</v>
      </c>
      <c r="E4" s="6">
        <v>1</v>
      </c>
      <c r="F4" s="6">
        <v>1</v>
      </c>
      <c r="G4" s="6">
        <v>1</v>
      </c>
      <c r="H4" s="6">
        <v>1</v>
      </c>
      <c r="I4" s="6">
        <v>1</v>
      </c>
      <c r="J4" s="6">
        <v>1</v>
      </c>
      <c r="K4" s="6">
        <v>1</v>
      </c>
      <c r="L4" s="6">
        <v>1</v>
      </c>
      <c r="M4" s="6">
        <v>1</v>
      </c>
      <c r="N4" s="6">
        <v>1</v>
      </c>
      <c r="O4" s="6">
        <v>1</v>
      </c>
      <c r="P4" s="6">
        <v>1</v>
      </c>
      <c r="Q4" s="6">
        <v>1</v>
      </c>
      <c r="R4" s="6">
        <v>1</v>
      </c>
      <c r="S4" s="6">
        <v>1</v>
      </c>
      <c r="T4" s="6">
        <v>1</v>
      </c>
      <c r="U4" s="6">
        <v>1</v>
      </c>
      <c r="V4" s="6">
        <v>1</v>
      </c>
      <c r="W4" s="6">
        <v>1</v>
      </c>
      <c r="X4" s="6">
        <v>1</v>
      </c>
      <c r="Y4" s="6">
        <v>1</v>
      </c>
      <c r="Z4" s="6">
        <v>1</v>
      </c>
      <c r="AA4" s="6">
        <v>1</v>
      </c>
      <c r="AB4" s="6">
        <v>1</v>
      </c>
      <c r="AC4" s="6">
        <v>1</v>
      </c>
      <c r="AD4" s="6">
        <v>1</v>
      </c>
      <c r="AE4" s="6">
        <v>1</v>
      </c>
      <c r="AF4" s="6">
        <v>1</v>
      </c>
      <c r="AG4" s="9">
        <v>1</v>
      </c>
    </row>
    <row r="5" spans="1:33" x14ac:dyDescent="0.25">
      <c r="A5" s="5" t="s">
        <v>34</v>
      </c>
      <c r="B5" s="10" t="s">
        <v>37</v>
      </c>
      <c r="C5" s="10">
        <v>1</v>
      </c>
      <c r="D5" s="10">
        <v>1</v>
      </c>
      <c r="E5" s="10">
        <v>1</v>
      </c>
      <c r="F5" s="10">
        <v>1</v>
      </c>
      <c r="G5" s="10">
        <v>1</v>
      </c>
      <c r="H5" s="10">
        <v>1</v>
      </c>
      <c r="I5" s="10">
        <v>1</v>
      </c>
      <c r="J5" s="10">
        <v>1</v>
      </c>
      <c r="K5" s="10">
        <v>1</v>
      </c>
      <c r="L5" s="10">
        <v>1</v>
      </c>
      <c r="M5" s="10">
        <v>1</v>
      </c>
      <c r="N5" s="10">
        <v>1</v>
      </c>
      <c r="O5" s="10">
        <v>1</v>
      </c>
      <c r="P5" s="10">
        <v>1</v>
      </c>
      <c r="Q5" s="10">
        <v>1</v>
      </c>
      <c r="R5" s="10">
        <v>1</v>
      </c>
      <c r="S5" s="10">
        <v>1</v>
      </c>
      <c r="T5" s="10">
        <v>1</v>
      </c>
      <c r="U5" s="10">
        <v>1</v>
      </c>
      <c r="V5" s="10">
        <v>1</v>
      </c>
      <c r="W5" s="10">
        <v>1</v>
      </c>
      <c r="X5" s="10">
        <v>1</v>
      </c>
      <c r="Y5" s="10">
        <v>1</v>
      </c>
      <c r="Z5" s="10">
        <v>1</v>
      </c>
      <c r="AA5" s="10">
        <v>1</v>
      </c>
      <c r="AB5" s="10">
        <v>1</v>
      </c>
      <c r="AC5" s="10">
        <v>1</v>
      </c>
      <c r="AD5" s="10">
        <v>1</v>
      </c>
      <c r="AE5" s="10">
        <v>1</v>
      </c>
      <c r="AF5" s="10">
        <v>1</v>
      </c>
      <c r="AG5" s="11">
        <v>1</v>
      </c>
    </row>
    <row r="6" spans="1:33" x14ac:dyDescent="0.25">
      <c r="A6" s="12" t="s">
        <v>38</v>
      </c>
      <c r="B6" s="6" t="s">
        <v>35</v>
      </c>
      <c r="C6" s="7">
        <v>1</v>
      </c>
      <c r="D6" s="7">
        <v>1</v>
      </c>
      <c r="E6" s="7">
        <v>1</v>
      </c>
      <c r="F6" s="7">
        <v>1</v>
      </c>
      <c r="G6" s="7">
        <v>1</v>
      </c>
      <c r="H6" s="7">
        <v>1</v>
      </c>
      <c r="I6" s="7">
        <v>1</v>
      </c>
      <c r="J6" s="7">
        <v>1</v>
      </c>
      <c r="K6" s="7">
        <v>1</v>
      </c>
      <c r="L6" s="7">
        <v>1</v>
      </c>
      <c r="M6" s="7">
        <v>1</v>
      </c>
      <c r="N6" s="7">
        <v>1</v>
      </c>
      <c r="O6" s="7">
        <v>1</v>
      </c>
      <c r="P6" s="7">
        <v>1</v>
      </c>
      <c r="Q6" s="7">
        <v>1</v>
      </c>
      <c r="R6" s="7">
        <v>1</v>
      </c>
      <c r="S6" s="7">
        <v>1</v>
      </c>
      <c r="T6" s="7">
        <v>1</v>
      </c>
      <c r="U6" s="7">
        <v>1</v>
      </c>
      <c r="V6" s="7">
        <v>1</v>
      </c>
      <c r="W6" s="7">
        <v>1</v>
      </c>
      <c r="X6" s="7">
        <v>1</v>
      </c>
      <c r="Y6" s="7">
        <v>1</v>
      </c>
      <c r="Z6" s="7">
        <v>1</v>
      </c>
      <c r="AA6" s="7">
        <v>1</v>
      </c>
      <c r="AB6" s="7">
        <v>1</v>
      </c>
      <c r="AC6" s="7">
        <v>1</v>
      </c>
      <c r="AD6" s="7">
        <v>1</v>
      </c>
      <c r="AE6" s="7">
        <v>1</v>
      </c>
      <c r="AF6" s="7">
        <v>1</v>
      </c>
      <c r="AG6" s="8">
        <v>1</v>
      </c>
    </row>
    <row r="7" spans="1:33" x14ac:dyDescent="0.25">
      <c r="A7" s="5" t="s">
        <v>38</v>
      </c>
      <c r="B7" s="6" t="s">
        <v>36</v>
      </c>
      <c r="C7" s="6">
        <v>1</v>
      </c>
      <c r="D7" s="6">
        <v>1</v>
      </c>
      <c r="E7" s="6">
        <v>1</v>
      </c>
      <c r="F7" s="6">
        <v>1</v>
      </c>
      <c r="G7" s="6">
        <v>1</v>
      </c>
      <c r="H7" s="6">
        <v>1</v>
      </c>
      <c r="I7" s="6">
        <v>1</v>
      </c>
      <c r="J7" s="6">
        <v>1</v>
      </c>
      <c r="K7" s="6">
        <v>1</v>
      </c>
      <c r="L7" s="6">
        <v>1</v>
      </c>
      <c r="M7" s="6">
        <v>1</v>
      </c>
      <c r="N7" s="6">
        <v>1</v>
      </c>
      <c r="O7" s="6">
        <v>1</v>
      </c>
      <c r="P7" s="6">
        <v>1</v>
      </c>
      <c r="Q7" s="6">
        <v>1</v>
      </c>
      <c r="R7" s="6">
        <v>1</v>
      </c>
      <c r="S7" s="6">
        <v>1</v>
      </c>
      <c r="T7" s="6">
        <v>1</v>
      </c>
      <c r="U7" s="6">
        <v>1</v>
      </c>
      <c r="V7" s="6">
        <v>1</v>
      </c>
      <c r="W7" s="6">
        <v>1</v>
      </c>
      <c r="X7" s="6">
        <v>1</v>
      </c>
      <c r="Y7" s="6">
        <v>1</v>
      </c>
      <c r="Z7" s="6">
        <v>1</v>
      </c>
      <c r="AA7" s="6">
        <v>1</v>
      </c>
      <c r="AB7" s="6">
        <v>1</v>
      </c>
      <c r="AC7" s="6">
        <v>1</v>
      </c>
      <c r="AD7" s="6">
        <v>1</v>
      </c>
      <c r="AE7" s="6">
        <v>1</v>
      </c>
      <c r="AF7" s="6">
        <v>1</v>
      </c>
      <c r="AG7" s="9">
        <v>1</v>
      </c>
    </row>
    <row r="8" spans="1:33" x14ac:dyDescent="0.25">
      <c r="A8" s="13" t="s">
        <v>38</v>
      </c>
      <c r="B8" s="10" t="s">
        <v>37</v>
      </c>
      <c r="C8" s="10">
        <v>1</v>
      </c>
      <c r="D8" s="10">
        <v>1</v>
      </c>
      <c r="E8" s="10">
        <v>1</v>
      </c>
      <c r="F8" s="10">
        <v>1</v>
      </c>
      <c r="G8" s="10">
        <v>1</v>
      </c>
      <c r="H8" s="10">
        <v>1</v>
      </c>
      <c r="I8" s="10">
        <v>1</v>
      </c>
      <c r="J8" s="10">
        <v>1</v>
      </c>
      <c r="K8" s="10">
        <v>1</v>
      </c>
      <c r="L8" s="10">
        <v>1</v>
      </c>
      <c r="M8" s="10">
        <v>1</v>
      </c>
      <c r="N8" s="10">
        <v>1</v>
      </c>
      <c r="O8" s="10">
        <v>1</v>
      </c>
      <c r="P8" s="10">
        <v>1</v>
      </c>
      <c r="Q8" s="10">
        <v>1</v>
      </c>
      <c r="R8" s="10">
        <v>1</v>
      </c>
      <c r="S8" s="10">
        <v>1</v>
      </c>
      <c r="T8" s="10">
        <v>1</v>
      </c>
      <c r="U8" s="10">
        <v>1</v>
      </c>
      <c r="V8" s="10">
        <v>1</v>
      </c>
      <c r="W8" s="10">
        <v>1</v>
      </c>
      <c r="X8" s="10">
        <v>1</v>
      </c>
      <c r="Y8" s="10">
        <v>1</v>
      </c>
      <c r="Z8" s="10">
        <v>1</v>
      </c>
      <c r="AA8" s="10">
        <v>1</v>
      </c>
      <c r="AB8" s="10">
        <v>1</v>
      </c>
      <c r="AC8" s="10">
        <v>1</v>
      </c>
      <c r="AD8" s="10">
        <v>1</v>
      </c>
      <c r="AE8" s="10">
        <v>1</v>
      </c>
      <c r="AF8" s="10">
        <v>1</v>
      </c>
      <c r="AG8" s="11">
        <v>1</v>
      </c>
    </row>
    <row r="9" spans="1:33" x14ac:dyDescent="0.25">
      <c r="A9" s="12" t="s">
        <v>39</v>
      </c>
      <c r="B9" s="6" t="s">
        <v>35</v>
      </c>
      <c r="C9" s="7">
        <v>1</v>
      </c>
      <c r="D9" s="7">
        <v>1</v>
      </c>
      <c r="E9" s="7">
        <v>1</v>
      </c>
      <c r="F9" s="7">
        <v>1</v>
      </c>
      <c r="G9" s="7">
        <v>1</v>
      </c>
      <c r="H9" s="7">
        <v>1</v>
      </c>
      <c r="I9" s="7">
        <v>1</v>
      </c>
      <c r="J9" s="7">
        <v>1</v>
      </c>
      <c r="K9" s="7">
        <v>1</v>
      </c>
      <c r="L9" s="7">
        <v>1</v>
      </c>
      <c r="M9" s="7">
        <v>1</v>
      </c>
      <c r="N9" s="7">
        <v>1</v>
      </c>
      <c r="O9" s="7">
        <v>1</v>
      </c>
      <c r="P9" s="7">
        <v>1</v>
      </c>
      <c r="Q9" s="7">
        <v>1</v>
      </c>
      <c r="R9" s="7">
        <v>1</v>
      </c>
      <c r="S9" s="7">
        <v>1</v>
      </c>
      <c r="T9" s="7">
        <v>1</v>
      </c>
      <c r="U9" s="7">
        <v>1</v>
      </c>
      <c r="V9" s="7">
        <v>1</v>
      </c>
      <c r="W9" s="7">
        <v>1</v>
      </c>
      <c r="X9" s="7">
        <v>1</v>
      </c>
      <c r="Y9" s="7">
        <v>1</v>
      </c>
      <c r="Z9" s="7">
        <v>1</v>
      </c>
      <c r="AA9" s="7">
        <v>1</v>
      </c>
      <c r="AB9" s="7">
        <v>1</v>
      </c>
      <c r="AC9" s="7">
        <v>1</v>
      </c>
      <c r="AD9" s="7">
        <v>1</v>
      </c>
      <c r="AE9" s="7">
        <v>1</v>
      </c>
      <c r="AF9" s="7">
        <v>1</v>
      </c>
      <c r="AG9" s="8">
        <v>1</v>
      </c>
    </row>
    <row r="10" spans="1:33" x14ac:dyDescent="0.25">
      <c r="A10" s="14" t="s">
        <v>39</v>
      </c>
      <c r="B10" s="6" t="s">
        <v>36</v>
      </c>
      <c r="C10" s="6">
        <v>1</v>
      </c>
      <c r="D10" s="6">
        <v>1</v>
      </c>
      <c r="E10" s="6">
        <v>1</v>
      </c>
      <c r="F10" s="6">
        <v>1</v>
      </c>
      <c r="G10" s="6">
        <v>1</v>
      </c>
      <c r="H10" s="6">
        <v>1</v>
      </c>
      <c r="I10" s="6">
        <v>1</v>
      </c>
      <c r="J10" s="6">
        <v>1</v>
      </c>
      <c r="K10" s="6">
        <v>1</v>
      </c>
      <c r="L10" s="6">
        <v>1</v>
      </c>
      <c r="M10" s="6">
        <v>1</v>
      </c>
      <c r="N10" s="6">
        <v>1</v>
      </c>
      <c r="O10" s="6">
        <v>1</v>
      </c>
      <c r="P10" s="6">
        <v>1</v>
      </c>
      <c r="Q10" s="6">
        <v>1</v>
      </c>
      <c r="R10" s="6">
        <v>1</v>
      </c>
      <c r="S10" s="6">
        <v>1</v>
      </c>
      <c r="T10" s="6">
        <v>1</v>
      </c>
      <c r="U10" s="6">
        <v>1</v>
      </c>
      <c r="V10" s="6">
        <v>1</v>
      </c>
      <c r="W10" s="6">
        <v>1</v>
      </c>
      <c r="X10" s="6">
        <v>1</v>
      </c>
      <c r="Y10" s="6">
        <v>1</v>
      </c>
      <c r="Z10" s="6">
        <v>1</v>
      </c>
      <c r="AA10" s="6">
        <v>1</v>
      </c>
      <c r="AB10" s="6">
        <v>1</v>
      </c>
      <c r="AC10" s="6">
        <v>1</v>
      </c>
      <c r="AD10" s="6">
        <v>1</v>
      </c>
      <c r="AE10" s="6">
        <v>1</v>
      </c>
      <c r="AF10" s="6">
        <v>1</v>
      </c>
      <c r="AG10" s="9">
        <v>1</v>
      </c>
    </row>
    <row r="11" spans="1:33" x14ac:dyDescent="0.25">
      <c r="A11" s="14" t="s">
        <v>39</v>
      </c>
      <c r="B11" s="10" t="s">
        <v>37</v>
      </c>
      <c r="C11" s="10">
        <v>1</v>
      </c>
      <c r="D11" s="10">
        <v>1</v>
      </c>
      <c r="E11" s="10">
        <v>1</v>
      </c>
      <c r="F11" s="10">
        <v>1</v>
      </c>
      <c r="G11" s="10">
        <v>1</v>
      </c>
      <c r="H11" s="10">
        <v>1</v>
      </c>
      <c r="I11" s="10">
        <v>1</v>
      </c>
      <c r="J11" s="10">
        <v>1</v>
      </c>
      <c r="K11" s="10">
        <v>1</v>
      </c>
      <c r="L11" s="10">
        <v>1</v>
      </c>
      <c r="M11" s="10">
        <v>1</v>
      </c>
      <c r="N11" s="10">
        <v>1</v>
      </c>
      <c r="O11" s="10">
        <v>1</v>
      </c>
      <c r="P11" s="10">
        <v>1</v>
      </c>
      <c r="Q11" s="10">
        <v>1</v>
      </c>
      <c r="R11" s="10">
        <v>1</v>
      </c>
      <c r="S11" s="10">
        <v>1</v>
      </c>
      <c r="T11" s="10">
        <v>1</v>
      </c>
      <c r="U11" s="10">
        <v>1</v>
      </c>
      <c r="V11" s="10">
        <v>1</v>
      </c>
      <c r="W11" s="10">
        <v>1</v>
      </c>
      <c r="X11" s="10">
        <v>1</v>
      </c>
      <c r="Y11" s="10">
        <v>1</v>
      </c>
      <c r="Z11" s="10">
        <v>1</v>
      </c>
      <c r="AA11" s="10">
        <v>1</v>
      </c>
      <c r="AB11" s="10">
        <v>1</v>
      </c>
      <c r="AC11" s="10">
        <v>1</v>
      </c>
      <c r="AD11" s="10">
        <v>1</v>
      </c>
      <c r="AE11" s="10">
        <v>1</v>
      </c>
      <c r="AF11" s="10">
        <v>1</v>
      </c>
      <c r="AG11" s="11">
        <v>1</v>
      </c>
    </row>
    <row r="12" spans="1:33" x14ac:dyDescent="0.25">
      <c r="A12" s="12" t="s">
        <v>40</v>
      </c>
      <c r="B12" s="7" t="s">
        <v>35</v>
      </c>
      <c r="C12" s="7">
        <v>1</v>
      </c>
      <c r="D12" s="7">
        <v>1</v>
      </c>
      <c r="E12" s="7">
        <v>1</v>
      </c>
      <c r="F12" s="7">
        <v>1</v>
      </c>
      <c r="G12" s="7">
        <v>1</v>
      </c>
      <c r="H12" s="7">
        <v>1</v>
      </c>
      <c r="I12" s="7">
        <v>1</v>
      </c>
      <c r="J12" s="7">
        <v>1</v>
      </c>
      <c r="K12" s="7">
        <v>1</v>
      </c>
      <c r="L12" s="7">
        <v>1</v>
      </c>
      <c r="M12" s="7">
        <v>1</v>
      </c>
      <c r="N12" s="7">
        <v>1</v>
      </c>
      <c r="O12" s="7">
        <v>1</v>
      </c>
      <c r="P12" s="7">
        <v>1</v>
      </c>
      <c r="Q12" s="7">
        <v>1</v>
      </c>
      <c r="R12" s="7">
        <v>1</v>
      </c>
      <c r="S12" s="7">
        <v>1</v>
      </c>
      <c r="T12" s="7">
        <v>1</v>
      </c>
      <c r="U12" s="7">
        <v>1</v>
      </c>
      <c r="V12" s="7">
        <v>1</v>
      </c>
      <c r="W12" s="7">
        <v>1</v>
      </c>
      <c r="X12" s="7">
        <v>1</v>
      </c>
      <c r="Y12" s="7">
        <v>1</v>
      </c>
      <c r="Z12" s="7">
        <v>1</v>
      </c>
      <c r="AA12" s="7">
        <v>1</v>
      </c>
      <c r="AB12" s="7">
        <v>1</v>
      </c>
      <c r="AC12" s="7">
        <v>1</v>
      </c>
      <c r="AD12" s="7">
        <v>1</v>
      </c>
      <c r="AE12" s="7">
        <v>1</v>
      </c>
      <c r="AF12" s="7">
        <v>1</v>
      </c>
      <c r="AG12" s="8">
        <v>1</v>
      </c>
    </row>
    <row r="13" spans="1:33" x14ac:dyDescent="0.25">
      <c r="A13" s="15" t="s">
        <v>40</v>
      </c>
      <c r="B13" s="6" t="s">
        <v>36</v>
      </c>
      <c r="C13" s="6">
        <v>1</v>
      </c>
      <c r="D13" s="6">
        <v>1</v>
      </c>
      <c r="E13" s="6">
        <v>1</v>
      </c>
      <c r="F13" s="6">
        <v>1</v>
      </c>
      <c r="G13" s="6">
        <v>1</v>
      </c>
      <c r="H13" s="6">
        <v>1</v>
      </c>
      <c r="I13" s="6">
        <v>1</v>
      </c>
      <c r="J13" s="6">
        <v>1</v>
      </c>
      <c r="K13" s="6">
        <v>1</v>
      </c>
      <c r="L13" s="6">
        <v>1</v>
      </c>
      <c r="M13" s="6">
        <v>1</v>
      </c>
      <c r="N13" s="6">
        <v>1</v>
      </c>
      <c r="O13" s="6">
        <v>1</v>
      </c>
      <c r="P13" s="6">
        <v>1</v>
      </c>
      <c r="Q13" s="6">
        <v>1</v>
      </c>
      <c r="R13" s="6">
        <v>1</v>
      </c>
      <c r="S13" s="6">
        <v>1</v>
      </c>
      <c r="T13" s="6">
        <v>1</v>
      </c>
      <c r="U13" s="6">
        <v>1</v>
      </c>
      <c r="V13" s="6">
        <v>1</v>
      </c>
      <c r="W13" s="6">
        <v>1</v>
      </c>
      <c r="X13" s="6">
        <v>1</v>
      </c>
      <c r="Y13" s="6">
        <v>1</v>
      </c>
      <c r="Z13" s="6">
        <v>1</v>
      </c>
      <c r="AA13" s="6">
        <v>1</v>
      </c>
      <c r="AB13" s="6">
        <v>1</v>
      </c>
      <c r="AC13" s="6">
        <v>1</v>
      </c>
      <c r="AD13" s="6">
        <v>1</v>
      </c>
      <c r="AE13" s="6">
        <v>1</v>
      </c>
      <c r="AF13" s="6">
        <v>1</v>
      </c>
      <c r="AG13" s="9">
        <v>1</v>
      </c>
    </row>
    <row r="14" spans="1:33" x14ac:dyDescent="0.25">
      <c r="A14" s="16" t="s">
        <v>40</v>
      </c>
      <c r="B14" s="10" t="s">
        <v>37</v>
      </c>
      <c r="C14" s="10">
        <v>1</v>
      </c>
      <c r="D14" s="10">
        <v>1</v>
      </c>
      <c r="E14" s="10">
        <v>1</v>
      </c>
      <c r="F14" s="10">
        <v>1</v>
      </c>
      <c r="G14" s="10">
        <v>1</v>
      </c>
      <c r="H14" s="10">
        <v>1</v>
      </c>
      <c r="I14" s="10">
        <v>1</v>
      </c>
      <c r="J14" s="10">
        <v>1</v>
      </c>
      <c r="K14" s="10">
        <v>1</v>
      </c>
      <c r="L14" s="10">
        <v>1</v>
      </c>
      <c r="M14" s="10">
        <v>1</v>
      </c>
      <c r="N14" s="10">
        <v>1</v>
      </c>
      <c r="O14" s="10">
        <v>1</v>
      </c>
      <c r="P14" s="10">
        <v>1</v>
      </c>
      <c r="Q14" s="10">
        <v>1</v>
      </c>
      <c r="R14" s="10">
        <v>1</v>
      </c>
      <c r="S14" s="10">
        <v>1</v>
      </c>
      <c r="T14" s="10">
        <v>1</v>
      </c>
      <c r="U14" s="10">
        <v>1</v>
      </c>
      <c r="V14" s="10">
        <v>1</v>
      </c>
      <c r="W14" s="10">
        <v>1</v>
      </c>
      <c r="X14" s="10">
        <v>1</v>
      </c>
      <c r="Y14" s="10">
        <v>1</v>
      </c>
      <c r="Z14" s="10">
        <v>1</v>
      </c>
      <c r="AA14" s="10">
        <v>1</v>
      </c>
      <c r="AB14" s="10">
        <v>1</v>
      </c>
      <c r="AC14" s="10">
        <v>1</v>
      </c>
      <c r="AD14" s="10">
        <v>1</v>
      </c>
      <c r="AE14" s="10">
        <v>1</v>
      </c>
      <c r="AF14" s="10">
        <v>1</v>
      </c>
      <c r="AG14" s="11">
        <v>1</v>
      </c>
    </row>
    <row r="16" spans="1:33" x14ac:dyDescent="0.25">
      <c r="A16" s="17" t="s">
        <v>41</v>
      </c>
    </row>
    <row r="17" spans="1:2" x14ac:dyDescent="0.25">
      <c r="A17" s="17">
        <v>1</v>
      </c>
      <c r="B17" s="17" t="s">
        <v>88</v>
      </c>
    </row>
    <row r="18" spans="1:2" x14ac:dyDescent="0.25">
      <c r="A18" s="17">
        <v>2</v>
      </c>
      <c r="B18" s="31" t="s">
        <v>89</v>
      </c>
    </row>
    <row r="19" spans="1:2" x14ac:dyDescent="0.25">
      <c r="A19" s="17">
        <v>3</v>
      </c>
      <c r="B19" s="31" t="s">
        <v>90</v>
      </c>
    </row>
    <row r="20" spans="1:2" x14ac:dyDescent="0.25">
      <c r="A20" s="17">
        <v>4</v>
      </c>
      <c r="B20" s="17" t="s">
        <v>91</v>
      </c>
    </row>
    <row r="21" spans="1:2" x14ac:dyDescent="0.25">
      <c r="A21" s="17">
        <v>5</v>
      </c>
      <c r="B21" s="17" t="s">
        <v>42</v>
      </c>
    </row>
    <row r="22" spans="1:2" x14ac:dyDescent="0.25">
      <c r="B22" s="17" t="s">
        <v>92</v>
      </c>
    </row>
    <row r="23" spans="1:2" x14ac:dyDescent="0.25">
      <c r="A23" s="1" t="s">
        <v>43</v>
      </c>
    </row>
    <row r="24" spans="1:2" x14ac:dyDescent="0.25">
      <c r="A24" s="31" t="s">
        <v>93</v>
      </c>
    </row>
    <row r="26" spans="1:2" x14ac:dyDescent="0.25">
      <c r="A26" s="1" t="s">
        <v>44</v>
      </c>
    </row>
    <row r="27" spans="1:2" x14ac:dyDescent="0.25">
      <c r="A27" s="17" t="s">
        <v>94</v>
      </c>
    </row>
    <row r="28" spans="1:2" x14ac:dyDescent="0.25">
      <c r="A28" s="31" t="s">
        <v>95</v>
      </c>
    </row>
    <row r="30" spans="1:2" x14ac:dyDescent="0.25">
      <c r="A30" s="1" t="s">
        <v>45</v>
      </c>
    </row>
    <row r="31" spans="1:2" x14ac:dyDescent="0.25">
      <c r="A31" s="17" t="s">
        <v>96</v>
      </c>
    </row>
    <row r="32" spans="1:2" x14ac:dyDescent="0.25">
      <c r="A32" s="17"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I57"/>
  <sheetViews>
    <sheetView topLeftCell="A37" workbookViewId="0">
      <selection activeCell="I44" sqref="I44"/>
    </sheetView>
  </sheetViews>
  <sheetFormatPr defaultColWidth="12.6640625" defaultRowHeight="15.75" customHeight="1" x14ac:dyDescent="0.25"/>
  <cols>
    <col min="1" max="1" width="7.109375" customWidth="1"/>
    <col min="2" max="2" width="7.5546875" bestFit="1" customWidth="1"/>
    <col min="3" max="35" width="6.6640625" customWidth="1"/>
  </cols>
  <sheetData>
    <row r="1" spans="1:35" x14ac:dyDescent="0.25">
      <c r="A1" s="1" t="s">
        <v>47</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7"/>
      <c r="AI1" s="17"/>
    </row>
    <row r="2" spans="1:35" x14ac:dyDescent="0.25">
      <c r="B2" s="19"/>
      <c r="C2" s="20" t="s">
        <v>3</v>
      </c>
      <c r="D2" s="20" t="s">
        <v>4</v>
      </c>
      <c r="E2" s="20" t="s">
        <v>5</v>
      </c>
      <c r="F2" s="20" t="s">
        <v>6</v>
      </c>
      <c r="G2" s="20" t="s">
        <v>7</v>
      </c>
      <c r="H2" s="20" t="s">
        <v>8</v>
      </c>
      <c r="I2" s="20" t="s">
        <v>9</v>
      </c>
      <c r="J2" s="20" t="s">
        <v>10</v>
      </c>
      <c r="K2" s="20" t="s">
        <v>11</v>
      </c>
      <c r="L2" s="20" t="s">
        <v>12</v>
      </c>
      <c r="M2" s="20" t="s">
        <v>13</v>
      </c>
      <c r="N2" s="20" t="s">
        <v>14</v>
      </c>
      <c r="O2" s="20" t="s">
        <v>15</v>
      </c>
      <c r="P2" s="20" t="s">
        <v>16</v>
      </c>
      <c r="Q2" s="20" t="s">
        <v>17</v>
      </c>
      <c r="R2" s="20" t="s">
        <v>18</v>
      </c>
      <c r="S2" s="20" t="s">
        <v>19</v>
      </c>
      <c r="T2" s="20" t="s">
        <v>20</v>
      </c>
      <c r="U2" s="20" t="s">
        <v>21</v>
      </c>
      <c r="V2" s="20" t="s">
        <v>22</v>
      </c>
      <c r="W2" s="20" t="s">
        <v>23</v>
      </c>
      <c r="X2" s="20" t="s">
        <v>24</v>
      </c>
      <c r="Y2" s="20" t="s">
        <v>25</v>
      </c>
      <c r="Z2" s="20" t="s">
        <v>26</v>
      </c>
      <c r="AA2" s="20" t="s">
        <v>27</v>
      </c>
      <c r="AB2" s="20" t="s">
        <v>28</v>
      </c>
      <c r="AC2" s="20" t="s">
        <v>29</v>
      </c>
      <c r="AD2" s="20" t="s">
        <v>30</v>
      </c>
      <c r="AE2" s="20" t="s">
        <v>31</v>
      </c>
      <c r="AF2" s="20" t="s">
        <v>32</v>
      </c>
      <c r="AG2" s="21" t="s">
        <v>33</v>
      </c>
      <c r="AH2" s="17"/>
      <c r="AI2" s="17"/>
    </row>
    <row r="3" spans="1:35" x14ac:dyDescent="0.25">
      <c r="B3" s="22" t="s">
        <v>48</v>
      </c>
      <c r="C3" s="6" t="s">
        <v>49</v>
      </c>
      <c r="D3" s="6" t="s">
        <v>35</v>
      </c>
      <c r="E3" s="6" t="s">
        <v>35</v>
      </c>
      <c r="F3" s="6" t="s">
        <v>37</v>
      </c>
      <c r="G3" s="6" t="s">
        <v>37</v>
      </c>
      <c r="H3" s="6" t="s">
        <v>49</v>
      </c>
      <c r="I3" s="6" t="s">
        <v>36</v>
      </c>
      <c r="J3" s="6" t="s">
        <v>36</v>
      </c>
      <c r="K3" s="6" t="s">
        <v>49</v>
      </c>
      <c r="L3" s="6" t="s">
        <v>35</v>
      </c>
      <c r="M3" s="6" t="s">
        <v>35</v>
      </c>
      <c r="N3" s="6" t="s">
        <v>37</v>
      </c>
      <c r="O3" s="6" t="s">
        <v>37</v>
      </c>
      <c r="P3" s="6" t="s">
        <v>49</v>
      </c>
      <c r="Q3" s="6" t="s">
        <v>36</v>
      </c>
      <c r="R3" s="6" t="s">
        <v>36</v>
      </c>
      <c r="S3" s="6" t="s">
        <v>49</v>
      </c>
      <c r="T3" s="6" t="s">
        <v>35</v>
      </c>
      <c r="U3" s="6" t="s">
        <v>35</v>
      </c>
      <c r="V3" s="6" t="s">
        <v>37</v>
      </c>
      <c r="W3" s="6" t="s">
        <v>37</v>
      </c>
      <c r="X3" s="6" t="s">
        <v>49</v>
      </c>
      <c r="Y3" s="6" t="s">
        <v>36</v>
      </c>
      <c r="Z3" s="6" t="s">
        <v>36</v>
      </c>
      <c r="AA3" s="6" t="s">
        <v>49</v>
      </c>
      <c r="AB3" s="6" t="s">
        <v>35</v>
      </c>
      <c r="AC3" s="6" t="s">
        <v>35</v>
      </c>
      <c r="AD3" s="6" t="s">
        <v>37</v>
      </c>
      <c r="AE3" s="6" t="s">
        <v>37</v>
      </c>
      <c r="AF3" s="6" t="s">
        <v>49</v>
      </c>
      <c r="AG3" s="9" t="s">
        <v>36</v>
      </c>
    </row>
    <row r="4" spans="1:35" x14ac:dyDescent="0.25">
      <c r="B4" s="22" t="s">
        <v>50</v>
      </c>
      <c r="C4" s="6" t="s">
        <v>49</v>
      </c>
      <c r="D4" s="6" t="s">
        <v>35</v>
      </c>
      <c r="E4" s="6" t="s">
        <v>35</v>
      </c>
      <c r="F4" s="6" t="s">
        <v>37</v>
      </c>
      <c r="G4" s="6" t="s">
        <v>37</v>
      </c>
      <c r="H4" s="6" t="s">
        <v>49</v>
      </c>
      <c r="I4" s="6" t="s">
        <v>36</v>
      </c>
      <c r="J4" s="6" t="s">
        <v>36</v>
      </c>
      <c r="K4" s="6" t="s">
        <v>49</v>
      </c>
      <c r="L4" s="6" t="s">
        <v>35</v>
      </c>
      <c r="M4" s="6" t="s">
        <v>35</v>
      </c>
      <c r="N4" s="6" t="s">
        <v>37</v>
      </c>
      <c r="O4" s="6" t="s">
        <v>37</v>
      </c>
      <c r="P4" s="6" t="s">
        <v>49</v>
      </c>
      <c r="Q4" s="6" t="s">
        <v>36</v>
      </c>
      <c r="R4" s="6" t="s">
        <v>36</v>
      </c>
      <c r="S4" s="6" t="s">
        <v>49</v>
      </c>
      <c r="T4" s="6" t="s">
        <v>35</v>
      </c>
      <c r="U4" s="6" t="s">
        <v>35</v>
      </c>
      <c r="V4" s="6" t="s">
        <v>37</v>
      </c>
      <c r="W4" s="6" t="s">
        <v>37</v>
      </c>
      <c r="X4" s="6" t="s">
        <v>49</v>
      </c>
      <c r="Y4" s="6" t="s">
        <v>36</v>
      </c>
      <c r="Z4" s="6" t="s">
        <v>36</v>
      </c>
      <c r="AA4" s="6" t="s">
        <v>49</v>
      </c>
      <c r="AB4" s="6" t="s">
        <v>35</v>
      </c>
      <c r="AC4" s="6" t="s">
        <v>35</v>
      </c>
      <c r="AD4" s="6" t="s">
        <v>37</v>
      </c>
      <c r="AE4" s="6" t="s">
        <v>37</v>
      </c>
      <c r="AF4" s="6" t="s">
        <v>49</v>
      </c>
      <c r="AG4" s="9" t="s">
        <v>36</v>
      </c>
    </row>
    <row r="5" spans="1:35" x14ac:dyDescent="0.25">
      <c r="B5" s="22" t="s">
        <v>51</v>
      </c>
      <c r="C5" s="6" t="s">
        <v>49</v>
      </c>
      <c r="D5" s="6" t="s">
        <v>35</v>
      </c>
      <c r="E5" s="6" t="s">
        <v>35</v>
      </c>
      <c r="F5" s="6" t="s">
        <v>37</v>
      </c>
      <c r="G5" s="6" t="s">
        <v>37</v>
      </c>
      <c r="H5" s="6" t="s">
        <v>49</v>
      </c>
      <c r="I5" s="6" t="s">
        <v>36</v>
      </c>
      <c r="J5" s="6" t="s">
        <v>36</v>
      </c>
      <c r="K5" s="6" t="s">
        <v>49</v>
      </c>
      <c r="L5" s="6" t="s">
        <v>35</v>
      </c>
      <c r="M5" s="6" t="s">
        <v>35</v>
      </c>
      <c r="N5" s="6" t="s">
        <v>37</v>
      </c>
      <c r="O5" s="6" t="s">
        <v>37</v>
      </c>
      <c r="P5" s="6" t="s">
        <v>49</v>
      </c>
      <c r="Q5" s="6" t="s">
        <v>36</v>
      </c>
      <c r="R5" s="6" t="s">
        <v>36</v>
      </c>
      <c r="S5" s="6" t="s">
        <v>49</v>
      </c>
      <c r="T5" s="6" t="s">
        <v>35</v>
      </c>
      <c r="U5" s="6" t="s">
        <v>35</v>
      </c>
      <c r="V5" s="6" t="s">
        <v>37</v>
      </c>
      <c r="W5" s="6" t="s">
        <v>37</v>
      </c>
      <c r="X5" s="6" t="s">
        <v>49</v>
      </c>
      <c r="Y5" s="6" t="s">
        <v>36</v>
      </c>
      <c r="Z5" s="6" t="s">
        <v>36</v>
      </c>
      <c r="AA5" s="6" t="s">
        <v>49</v>
      </c>
      <c r="AB5" s="6" t="s">
        <v>35</v>
      </c>
      <c r="AC5" s="6" t="s">
        <v>35</v>
      </c>
      <c r="AD5" s="6" t="s">
        <v>37</v>
      </c>
      <c r="AE5" s="6" t="s">
        <v>37</v>
      </c>
      <c r="AF5" s="6" t="s">
        <v>49</v>
      </c>
      <c r="AG5" s="9" t="s">
        <v>36</v>
      </c>
    </row>
    <row r="6" spans="1:35" x14ac:dyDescent="0.25">
      <c r="B6" s="22" t="s">
        <v>52</v>
      </c>
      <c r="C6" s="6" t="s">
        <v>49</v>
      </c>
      <c r="D6" s="6" t="s">
        <v>35</v>
      </c>
      <c r="E6" s="6" t="s">
        <v>35</v>
      </c>
      <c r="F6" s="6" t="s">
        <v>37</v>
      </c>
      <c r="G6" s="6" t="s">
        <v>37</v>
      </c>
      <c r="H6" s="6" t="s">
        <v>49</v>
      </c>
      <c r="I6" s="6" t="s">
        <v>36</v>
      </c>
      <c r="J6" s="6" t="s">
        <v>36</v>
      </c>
      <c r="K6" s="6" t="s">
        <v>49</v>
      </c>
      <c r="L6" s="6" t="s">
        <v>35</v>
      </c>
      <c r="M6" s="6" t="s">
        <v>35</v>
      </c>
      <c r="N6" s="6" t="s">
        <v>37</v>
      </c>
      <c r="O6" s="6" t="s">
        <v>37</v>
      </c>
      <c r="P6" s="6" t="s">
        <v>49</v>
      </c>
      <c r="Q6" s="6" t="s">
        <v>36</v>
      </c>
      <c r="R6" s="6" t="s">
        <v>36</v>
      </c>
      <c r="S6" s="6" t="s">
        <v>49</v>
      </c>
      <c r="T6" s="6" t="s">
        <v>35</v>
      </c>
      <c r="U6" s="6" t="s">
        <v>35</v>
      </c>
      <c r="V6" s="6" t="s">
        <v>37</v>
      </c>
      <c r="W6" s="6" t="s">
        <v>37</v>
      </c>
      <c r="X6" s="6" t="s">
        <v>49</v>
      </c>
      <c r="Y6" s="6" t="s">
        <v>36</v>
      </c>
      <c r="Z6" s="6" t="s">
        <v>36</v>
      </c>
      <c r="AA6" s="6" t="s">
        <v>49</v>
      </c>
      <c r="AB6" s="6" t="s">
        <v>35</v>
      </c>
      <c r="AC6" s="6" t="s">
        <v>35</v>
      </c>
      <c r="AD6" s="6" t="s">
        <v>37</v>
      </c>
      <c r="AE6" s="6" t="s">
        <v>37</v>
      </c>
      <c r="AF6" s="6" t="s">
        <v>49</v>
      </c>
      <c r="AG6" s="9" t="s">
        <v>36</v>
      </c>
    </row>
    <row r="7" spans="1:35" x14ac:dyDescent="0.25">
      <c r="B7" s="22" t="s">
        <v>53</v>
      </c>
      <c r="C7" s="6" t="s">
        <v>49</v>
      </c>
      <c r="D7" s="6" t="s">
        <v>35</v>
      </c>
      <c r="E7" s="6" t="s">
        <v>35</v>
      </c>
      <c r="F7" s="6" t="s">
        <v>37</v>
      </c>
      <c r="G7" s="6" t="s">
        <v>37</v>
      </c>
      <c r="H7" s="6" t="s">
        <v>49</v>
      </c>
      <c r="I7" s="6" t="s">
        <v>36</v>
      </c>
      <c r="J7" s="6" t="s">
        <v>36</v>
      </c>
      <c r="K7" s="6" t="s">
        <v>49</v>
      </c>
      <c r="L7" s="6" t="s">
        <v>35</v>
      </c>
      <c r="M7" s="6" t="s">
        <v>35</v>
      </c>
      <c r="N7" s="6" t="s">
        <v>37</v>
      </c>
      <c r="O7" s="6" t="s">
        <v>37</v>
      </c>
      <c r="P7" s="6" t="s">
        <v>49</v>
      </c>
      <c r="Q7" s="6" t="s">
        <v>36</v>
      </c>
      <c r="R7" s="6" t="s">
        <v>36</v>
      </c>
      <c r="S7" s="6" t="s">
        <v>49</v>
      </c>
      <c r="T7" s="6" t="s">
        <v>35</v>
      </c>
      <c r="U7" s="6" t="s">
        <v>35</v>
      </c>
      <c r="V7" s="6" t="s">
        <v>37</v>
      </c>
      <c r="W7" s="6" t="s">
        <v>37</v>
      </c>
      <c r="X7" s="6" t="s">
        <v>49</v>
      </c>
      <c r="Y7" s="6" t="s">
        <v>36</v>
      </c>
      <c r="Z7" s="6" t="s">
        <v>36</v>
      </c>
      <c r="AA7" s="6" t="s">
        <v>49</v>
      </c>
      <c r="AB7" s="6" t="s">
        <v>35</v>
      </c>
      <c r="AC7" s="6" t="s">
        <v>35</v>
      </c>
      <c r="AD7" s="6" t="s">
        <v>37</v>
      </c>
      <c r="AE7" s="6" t="s">
        <v>37</v>
      </c>
      <c r="AF7" s="6" t="s">
        <v>49</v>
      </c>
      <c r="AG7" s="9" t="s">
        <v>36</v>
      </c>
    </row>
    <row r="8" spans="1:35" x14ac:dyDescent="0.25">
      <c r="B8" s="22" t="s">
        <v>54</v>
      </c>
      <c r="C8" s="6" t="s">
        <v>36</v>
      </c>
      <c r="D8" s="6" t="s">
        <v>36</v>
      </c>
      <c r="E8" s="6" t="s">
        <v>49</v>
      </c>
      <c r="F8" s="6" t="s">
        <v>35</v>
      </c>
      <c r="G8" s="6" t="s">
        <v>35</v>
      </c>
      <c r="H8" s="6" t="s">
        <v>37</v>
      </c>
      <c r="I8" s="6" t="s">
        <v>37</v>
      </c>
      <c r="J8" s="6" t="s">
        <v>49</v>
      </c>
      <c r="K8" s="6" t="s">
        <v>36</v>
      </c>
      <c r="L8" s="6" t="s">
        <v>36</v>
      </c>
      <c r="M8" s="6" t="s">
        <v>49</v>
      </c>
      <c r="N8" s="6" t="s">
        <v>35</v>
      </c>
      <c r="O8" s="6" t="s">
        <v>35</v>
      </c>
      <c r="P8" s="6" t="s">
        <v>37</v>
      </c>
      <c r="Q8" s="6" t="s">
        <v>37</v>
      </c>
      <c r="R8" s="6" t="s">
        <v>49</v>
      </c>
      <c r="S8" s="6" t="s">
        <v>36</v>
      </c>
      <c r="T8" s="6" t="s">
        <v>36</v>
      </c>
      <c r="U8" s="6" t="s">
        <v>49</v>
      </c>
      <c r="V8" s="6" t="s">
        <v>35</v>
      </c>
      <c r="W8" s="6" t="s">
        <v>35</v>
      </c>
      <c r="X8" s="6" t="s">
        <v>37</v>
      </c>
      <c r="Y8" s="6" t="s">
        <v>37</v>
      </c>
      <c r="Z8" s="6" t="s">
        <v>49</v>
      </c>
      <c r="AA8" s="6" t="s">
        <v>36</v>
      </c>
      <c r="AB8" s="6" t="s">
        <v>36</v>
      </c>
      <c r="AC8" s="6" t="s">
        <v>49</v>
      </c>
      <c r="AD8" s="6" t="s">
        <v>35</v>
      </c>
      <c r="AE8" s="6" t="s">
        <v>35</v>
      </c>
      <c r="AF8" s="6" t="s">
        <v>37</v>
      </c>
      <c r="AG8" s="9" t="s">
        <v>37</v>
      </c>
    </row>
    <row r="9" spans="1:35" x14ac:dyDescent="0.25">
      <c r="B9" s="22" t="s">
        <v>55</v>
      </c>
      <c r="C9" s="6" t="s">
        <v>36</v>
      </c>
      <c r="D9" s="6" t="s">
        <v>36</v>
      </c>
      <c r="E9" s="6" t="s">
        <v>49</v>
      </c>
      <c r="F9" s="6" t="s">
        <v>35</v>
      </c>
      <c r="G9" s="6" t="s">
        <v>35</v>
      </c>
      <c r="H9" s="6" t="s">
        <v>37</v>
      </c>
      <c r="I9" s="6" t="s">
        <v>37</v>
      </c>
      <c r="J9" s="6" t="s">
        <v>49</v>
      </c>
      <c r="K9" s="6" t="s">
        <v>36</v>
      </c>
      <c r="L9" s="6" t="s">
        <v>36</v>
      </c>
      <c r="M9" s="6" t="s">
        <v>49</v>
      </c>
      <c r="N9" s="6" t="s">
        <v>35</v>
      </c>
      <c r="O9" s="6" t="s">
        <v>35</v>
      </c>
      <c r="P9" s="6" t="s">
        <v>37</v>
      </c>
      <c r="Q9" s="6" t="s">
        <v>37</v>
      </c>
      <c r="R9" s="6" t="s">
        <v>49</v>
      </c>
      <c r="S9" s="6" t="s">
        <v>36</v>
      </c>
      <c r="T9" s="6" t="s">
        <v>36</v>
      </c>
      <c r="U9" s="6" t="s">
        <v>49</v>
      </c>
      <c r="V9" s="6" t="s">
        <v>35</v>
      </c>
      <c r="W9" s="6" t="s">
        <v>35</v>
      </c>
      <c r="X9" s="6" t="s">
        <v>37</v>
      </c>
      <c r="Y9" s="6" t="s">
        <v>37</v>
      </c>
      <c r="Z9" s="6" t="s">
        <v>49</v>
      </c>
      <c r="AA9" s="6" t="s">
        <v>36</v>
      </c>
      <c r="AB9" s="6" t="s">
        <v>36</v>
      </c>
      <c r="AC9" s="6" t="s">
        <v>49</v>
      </c>
      <c r="AD9" s="6" t="s">
        <v>35</v>
      </c>
      <c r="AE9" s="6" t="s">
        <v>35</v>
      </c>
      <c r="AF9" s="6" t="s">
        <v>37</v>
      </c>
      <c r="AG9" s="9" t="s">
        <v>37</v>
      </c>
    </row>
    <row r="10" spans="1:35" x14ac:dyDescent="0.25">
      <c r="B10" s="22" t="s">
        <v>56</v>
      </c>
      <c r="C10" s="6" t="s">
        <v>36</v>
      </c>
      <c r="D10" s="6" t="s">
        <v>36</v>
      </c>
      <c r="E10" s="6" t="s">
        <v>49</v>
      </c>
      <c r="F10" s="6" t="s">
        <v>35</v>
      </c>
      <c r="G10" s="6" t="s">
        <v>35</v>
      </c>
      <c r="H10" s="6" t="s">
        <v>37</v>
      </c>
      <c r="I10" s="6" t="s">
        <v>37</v>
      </c>
      <c r="J10" s="6" t="s">
        <v>49</v>
      </c>
      <c r="K10" s="6" t="s">
        <v>36</v>
      </c>
      <c r="L10" s="6" t="s">
        <v>36</v>
      </c>
      <c r="M10" s="6" t="s">
        <v>49</v>
      </c>
      <c r="N10" s="6" t="s">
        <v>35</v>
      </c>
      <c r="O10" s="6" t="s">
        <v>35</v>
      </c>
      <c r="P10" s="6" t="s">
        <v>37</v>
      </c>
      <c r="Q10" s="6" t="s">
        <v>37</v>
      </c>
      <c r="R10" s="6" t="s">
        <v>49</v>
      </c>
      <c r="S10" s="6" t="s">
        <v>36</v>
      </c>
      <c r="T10" s="6" t="s">
        <v>36</v>
      </c>
      <c r="U10" s="6" t="s">
        <v>49</v>
      </c>
      <c r="V10" s="6" t="s">
        <v>35</v>
      </c>
      <c r="W10" s="6" t="s">
        <v>35</v>
      </c>
      <c r="X10" s="6" t="s">
        <v>37</v>
      </c>
      <c r="Y10" s="6" t="s">
        <v>37</v>
      </c>
      <c r="Z10" s="6" t="s">
        <v>49</v>
      </c>
      <c r="AA10" s="6" t="s">
        <v>36</v>
      </c>
      <c r="AB10" s="6" t="s">
        <v>36</v>
      </c>
      <c r="AC10" s="6" t="s">
        <v>49</v>
      </c>
      <c r="AD10" s="6" t="s">
        <v>35</v>
      </c>
      <c r="AE10" s="6" t="s">
        <v>35</v>
      </c>
      <c r="AF10" s="6" t="s">
        <v>37</v>
      </c>
      <c r="AG10" s="9" t="s">
        <v>37</v>
      </c>
    </row>
    <row r="11" spans="1:35" x14ac:dyDescent="0.25">
      <c r="B11" s="22" t="s">
        <v>57</v>
      </c>
      <c r="C11" s="6" t="s">
        <v>36</v>
      </c>
      <c r="D11" s="6" t="s">
        <v>36</v>
      </c>
      <c r="E11" s="6" t="s">
        <v>49</v>
      </c>
      <c r="F11" s="6" t="s">
        <v>35</v>
      </c>
      <c r="G11" s="6" t="s">
        <v>35</v>
      </c>
      <c r="H11" s="6" t="s">
        <v>37</v>
      </c>
      <c r="I11" s="6" t="s">
        <v>37</v>
      </c>
      <c r="J11" s="6" t="s">
        <v>49</v>
      </c>
      <c r="K11" s="6" t="s">
        <v>36</v>
      </c>
      <c r="L11" s="6" t="s">
        <v>36</v>
      </c>
      <c r="M11" s="6" t="s">
        <v>49</v>
      </c>
      <c r="N11" s="6" t="s">
        <v>35</v>
      </c>
      <c r="O11" s="6" t="s">
        <v>35</v>
      </c>
      <c r="P11" s="6" t="s">
        <v>37</v>
      </c>
      <c r="Q11" s="6" t="s">
        <v>37</v>
      </c>
      <c r="R11" s="6" t="s">
        <v>49</v>
      </c>
      <c r="S11" s="6" t="s">
        <v>36</v>
      </c>
      <c r="T11" s="6" t="s">
        <v>36</v>
      </c>
      <c r="U11" s="6" t="s">
        <v>49</v>
      </c>
      <c r="V11" s="6" t="s">
        <v>35</v>
      </c>
      <c r="W11" s="6" t="s">
        <v>35</v>
      </c>
      <c r="X11" s="6" t="s">
        <v>37</v>
      </c>
      <c r="Y11" s="6" t="s">
        <v>37</v>
      </c>
      <c r="Z11" s="6" t="s">
        <v>49</v>
      </c>
      <c r="AA11" s="6" t="s">
        <v>36</v>
      </c>
      <c r="AB11" s="6" t="s">
        <v>36</v>
      </c>
      <c r="AC11" s="6" t="s">
        <v>49</v>
      </c>
      <c r="AD11" s="6" t="s">
        <v>35</v>
      </c>
      <c r="AE11" s="6" t="s">
        <v>35</v>
      </c>
      <c r="AF11" s="6" t="s">
        <v>37</v>
      </c>
      <c r="AG11" s="9" t="s">
        <v>37</v>
      </c>
    </row>
    <row r="12" spans="1:35" x14ac:dyDescent="0.25">
      <c r="B12" s="22" t="s">
        <v>58</v>
      </c>
      <c r="C12" s="6" t="s">
        <v>37</v>
      </c>
      <c r="D12" s="6" t="s">
        <v>49</v>
      </c>
      <c r="E12" s="6" t="s">
        <v>36</v>
      </c>
      <c r="F12" s="6" t="s">
        <v>36</v>
      </c>
      <c r="G12" s="6" t="s">
        <v>49</v>
      </c>
      <c r="H12" s="6" t="s">
        <v>35</v>
      </c>
      <c r="I12" s="6" t="s">
        <v>35</v>
      </c>
      <c r="J12" s="6" t="s">
        <v>37</v>
      </c>
      <c r="K12" s="6" t="s">
        <v>37</v>
      </c>
      <c r="L12" s="6" t="s">
        <v>49</v>
      </c>
      <c r="M12" s="6" t="s">
        <v>36</v>
      </c>
      <c r="N12" s="6" t="s">
        <v>36</v>
      </c>
      <c r="O12" s="6" t="s">
        <v>49</v>
      </c>
      <c r="P12" s="6" t="s">
        <v>35</v>
      </c>
      <c r="Q12" s="6" t="s">
        <v>35</v>
      </c>
      <c r="R12" s="6" t="s">
        <v>37</v>
      </c>
      <c r="S12" s="6" t="s">
        <v>37</v>
      </c>
      <c r="T12" s="6" t="s">
        <v>49</v>
      </c>
      <c r="U12" s="6" t="s">
        <v>36</v>
      </c>
      <c r="V12" s="6" t="s">
        <v>36</v>
      </c>
      <c r="W12" s="6" t="s">
        <v>49</v>
      </c>
      <c r="X12" s="6" t="s">
        <v>35</v>
      </c>
      <c r="Y12" s="6" t="s">
        <v>35</v>
      </c>
      <c r="Z12" s="6" t="s">
        <v>37</v>
      </c>
      <c r="AA12" s="6" t="s">
        <v>37</v>
      </c>
      <c r="AB12" s="6" t="s">
        <v>49</v>
      </c>
      <c r="AC12" s="6" t="s">
        <v>36</v>
      </c>
      <c r="AD12" s="6" t="s">
        <v>36</v>
      </c>
      <c r="AE12" s="6" t="s">
        <v>49</v>
      </c>
      <c r="AF12" s="6" t="s">
        <v>35</v>
      </c>
      <c r="AG12" s="9" t="s">
        <v>35</v>
      </c>
    </row>
    <row r="13" spans="1:35" x14ac:dyDescent="0.25">
      <c r="B13" s="22" t="s">
        <v>59</v>
      </c>
      <c r="C13" s="6" t="s">
        <v>37</v>
      </c>
      <c r="D13" s="6" t="s">
        <v>49</v>
      </c>
      <c r="E13" s="6" t="s">
        <v>36</v>
      </c>
      <c r="F13" s="6" t="s">
        <v>36</v>
      </c>
      <c r="G13" s="6" t="s">
        <v>49</v>
      </c>
      <c r="H13" s="6" t="s">
        <v>35</v>
      </c>
      <c r="I13" s="6" t="s">
        <v>35</v>
      </c>
      <c r="J13" s="6" t="s">
        <v>37</v>
      </c>
      <c r="K13" s="6" t="s">
        <v>37</v>
      </c>
      <c r="L13" s="6" t="s">
        <v>49</v>
      </c>
      <c r="M13" s="6" t="s">
        <v>36</v>
      </c>
      <c r="N13" s="6" t="s">
        <v>36</v>
      </c>
      <c r="O13" s="6" t="s">
        <v>49</v>
      </c>
      <c r="P13" s="6" t="s">
        <v>35</v>
      </c>
      <c r="Q13" s="6" t="s">
        <v>35</v>
      </c>
      <c r="R13" s="6" t="s">
        <v>37</v>
      </c>
      <c r="S13" s="6" t="s">
        <v>37</v>
      </c>
      <c r="T13" s="6" t="s">
        <v>49</v>
      </c>
      <c r="U13" s="6" t="s">
        <v>36</v>
      </c>
      <c r="V13" s="6" t="s">
        <v>36</v>
      </c>
      <c r="W13" s="6" t="s">
        <v>49</v>
      </c>
      <c r="X13" s="6" t="s">
        <v>35</v>
      </c>
      <c r="Y13" s="6" t="s">
        <v>35</v>
      </c>
      <c r="Z13" s="6" t="s">
        <v>37</v>
      </c>
      <c r="AA13" s="6" t="s">
        <v>37</v>
      </c>
      <c r="AB13" s="6" t="s">
        <v>49</v>
      </c>
      <c r="AC13" s="6" t="s">
        <v>36</v>
      </c>
      <c r="AD13" s="6" t="s">
        <v>36</v>
      </c>
      <c r="AE13" s="6" t="s">
        <v>49</v>
      </c>
      <c r="AF13" s="6" t="s">
        <v>35</v>
      </c>
      <c r="AG13" s="9" t="s">
        <v>35</v>
      </c>
    </row>
    <row r="14" spans="1:35" x14ac:dyDescent="0.25">
      <c r="B14" s="22" t="s">
        <v>60</v>
      </c>
      <c r="C14" s="6" t="s">
        <v>37</v>
      </c>
      <c r="D14" s="6" t="s">
        <v>49</v>
      </c>
      <c r="E14" s="6" t="s">
        <v>36</v>
      </c>
      <c r="F14" s="6" t="s">
        <v>36</v>
      </c>
      <c r="G14" s="6" t="s">
        <v>49</v>
      </c>
      <c r="H14" s="6" t="s">
        <v>35</v>
      </c>
      <c r="I14" s="6" t="s">
        <v>35</v>
      </c>
      <c r="J14" s="6" t="s">
        <v>37</v>
      </c>
      <c r="K14" s="6" t="s">
        <v>37</v>
      </c>
      <c r="L14" s="6" t="s">
        <v>49</v>
      </c>
      <c r="M14" s="6" t="s">
        <v>36</v>
      </c>
      <c r="N14" s="6" t="s">
        <v>36</v>
      </c>
      <c r="O14" s="6" t="s">
        <v>49</v>
      </c>
      <c r="P14" s="6" t="s">
        <v>35</v>
      </c>
      <c r="Q14" s="6" t="s">
        <v>35</v>
      </c>
      <c r="R14" s="6" t="s">
        <v>37</v>
      </c>
      <c r="S14" s="6" t="s">
        <v>37</v>
      </c>
      <c r="T14" s="6" t="s">
        <v>49</v>
      </c>
      <c r="U14" s="6" t="s">
        <v>36</v>
      </c>
      <c r="V14" s="6" t="s">
        <v>36</v>
      </c>
      <c r="W14" s="6" t="s">
        <v>49</v>
      </c>
      <c r="X14" s="6" t="s">
        <v>35</v>
      </c>
      <c r="Y14" s="6" t="s">
        <v>35</v>
      </c>
      <c r="Z14" s="6" t="s">
        <v>37</v>
      </c>
      <c r="AA14" s="6" t="s">
        <v>37</v>
      </c>
      <c r="AB14" s="6" t="s">
        <v>49</v>
      </c>
      <c r="AC14" s="6" t="s">
        <v>36</v>
      </c>
      <c r="AD14" s="6" t="s">
        <v>36</v>
      </c>
      <c r="AE14" s="6" t="s">
        <v>49</v>
      </c>
      <c r="AF14" s="6" t="s">
        <v>35</v>
      </c>
      <c r="AG14" s="9" t="s">
        <v>35</v>
      </c>
    </row>
    <row r="15" spans="1:35" x14ac:dyDescent="0.25">
      <c r="B15" s="22" t="s">
        <v>61</v>
      </c>
      <c r="C15" s="6" t="s">
        <v>37</v>
      </c>
      <c r="D15" s="6" t="s">
        <v>49</v>
      </c>
      <c r="E15" s="6" t="s">
        <v>36</v>
      </c>
      <c r="F15" s="6" t="s">
        <v>36</v>
      </c>
      <c r="G15" s="6" t="s">
        <v>49</v>
      </c>
      <c r="H15" s="6" t="s">
        <v>35</v>
      </c>
      <c r="I15" s="6" t="s">
        <v>35</v>
      </c>
      <c r="J15" s="6" t="s">
        <v>37</v>
      </c>
      <c r="K15" s="6" t="s">
        <v>37</v>
      </c>
      <c r="L15" s="6" t="s">
        <v>49</v>
      </c>
      <c r="M15" s="6" t="s">
        <v>36</v>
      </c>
      <c r="N15" s="6" t="s">
        <v>36</v>
      </c>
      <c r="O15" s="6" t="s">
        <v>49</v>
      </c>
      <c r="P15" s="6" t="s">
        <v>35</v>
      </c>
      <c r="Q15" s="6" t="s">
        <v>35</v>
      </c>
      <c r="R15" s="6" t="s">
        <v>37</v>
      </c>
      <c r="S15" s="6" t="s">
        <v>37</v>
      </c>
      <c r="T15" s="6" t="s">
        <v>49</v>
      </c>
      <c r="U15" s="6" t="s">
        <v>36</v>
      </c>
      <c r="V15" s="6" t="s">
        <v>36</v>
      </c>
      <c r="W15" s="6" t="s">
        <v>49</v>
      </c>
      <c r="X15" s="6" t="s">
        <v>35</v>
      </c>
      <c r="Y15" s="6" t="s">
        <v>35</v>
      </c>
      <c r="Z15" s="6" t="s">
        <v>37</v>
      </c>
      <c r="AA15" s="6" t="s">
        <v>37</v>
      </c>
      <c r="AB15" s="6" t="s">
        <v>49</v>
      </c>
      <c r="AC15" s="6" t="s">
        <v>36</v>
      </c>
      <c r="AD15" s="6" t="s">
        <v>36</v>
      </c>
      <c r="AE15" s="6" t="s">
        <v>49</v>
      </c>
      <c r="AF15" s="6" t="s">
        <v>35</v>
      </c>
      <c r="AG15" s="9" t="s">
        <v>35</v>
      </c>
    </row>
    <row r="16" spans="1:35" x14ac:dyDescent="0.25">
      <c r="B16" s="22" t="s">
        <v>62</v>
      </c>
      <c r="C16" s="6" t="s">
        <v>37</v>
      </c>
      <c r="D16" s="6" t="s">
        <v>49</v>
      </c>
      <c r="E16" s="6" t="s">
        <v>36</v>
      </c>
      <c r="F16" s="6" t="s">
        <v>36</v>
      </c>
      <c r="G16" s="6" t="s">
        <v>49</v>
      </c>
      <c r="H16" s="6" t="s">
        <v>35</v>
      </c>
      <c r="I16" s="6" t="s">
        <v>35</v>
      </c>
      <c r="J16" s="6" t="s">
        <v>37</v>
      </c>
      <c r="K16" s="6" t="s">
        <v>37</v>
      </c>
      <c r="L16" s="6" t="s">
        <v>49</v>
      </c>
      <c r="M16" s="6" t="s">
        <v>36</v>
      </c>
      <c r="N16" s="6" t="s">
        <v>36</v>
      </c>
      <c r="O16" s="6" t="s">
        <v>49</v>
      </c>
      <c r="P16" s="6" t="s">
        <v>35</v>
      </c>
      <c r="Q16" s="6" t="s">
        <v>35</v>
      </c>
      <c r="R16" s="6" t="s">
        <v>37</v>
      </c>
      <c r="S16" s="6" t="s">
        <v>37</v>
      </c>
      <c r="T16" s="6" t="s">
        <v>49</v>
      </c>
      <c r="U16" s="6" t="s">
        <v>36</v>
      </c>
      <c r="V16" s="6" t="s">
        <v>36</v>
      </c>
      <c r="W16" s="6" t="s">
        <v>49</v>
      </c>
      <c r="X16" s="6" t="s">
        <v>35</v>
      </c>
      <c r="Y16" s="6" t="s">
        <v>35</v>
      </c>
      <c r="Z16" s="6" t="s">
        <v>37</v>
      </c>
      <c r="AA16" s="6" t="s">
        <v>37</v>
      </c>
      <c r="AB16" s="6" t="s">
        <v>49</v>
      </c>
      <c r="AC16" s="6" t="s">
        <v>36</v>
      </c>
      <c r="AD16" s="6" t="s">
        <v>36</v>
      </c>
      <c r="AE16" s="6" t="s">
        <v>49</v>
      </c>
      <c r="AF16" s="6" t="s">
        <v>35</v>
      </c>
      <c r="AG16" s="9" t="s">
        <v>35</v>
      </c>
    </row>
    <row r="17" spans="1:33" x14ac:dyDescent="0.25">
      <c r="B17" s="22" t="s">
        <v>63</v>
      </c>
      <c r="C17" s="6" t="s">
        <v>35</v>
      </c>
      <c r="D17" s="6" t="s">
        <v>37</v>
      </c>
      <c r="E17" s="6" t="s">
        <v>37</v>
      </c>
      <c r="F17" s="6" t="s">
        <v>49</v>
      </c>
      <c r="G17" s="6" t="s">
        <v>36</v>
      </c>
      <c r="H17" s="6" t="s">
        <v>36</v>
      </c>
      <c r="I17" s="6" t="s">
        <v>49</v>
      </c>
      <c r="J17" s="6" t="s">
        <v>35</v>
      </c>
      <c r="K17" s="6" t="s">
        <v>35</v>
      </c>
      <c r="L17" s="6" t="s">
        <v>37</v>
      </c>
      <c r="M17" s="6" t="s">
        <v>37</v>
      </c>
      <c r="N17" s="6" t="s">
        <v>49</v>
      </c>
      <c r="O17" s="6" t="s">
        <v>36</v>
      </c>
      <c r="P17" s="6" t="s">
        <v>36</v>
      </c>
      <c r="Q17" s="6" t="s">
        <v>49</v>
      </c>
      <c r="R17" s="6" t="s">
        <v>35</v>
      </c>
      <c r="S17" s="6" t="s">
        <v>35</v>
      </c>
      <c r="T17" s="6" t="s">
        <v>37</v>
      </c>
      <c r="U17" s="6" t="s">
        <v>37</v>
      </c>
      <c r="V17" s="6" t="s">
        <v>49</v>
      </c>
      <c r="W17" s="6" t="s">
        <v>36</v>
      </c>
      <c r="X17" s="6" t="s">
        <v>36</v>
      </c>
      <c r="Y17" s="6" t="s">
        <v>49</v>
      </c>
      <c r="Z17" s="6" t="s">
        <v>35</v>
      </c>
      <c r="AA17" s="6" t="s">
        <v>35</v>
      </c>
      <c r="AB17" s="6" t="s">
        <v>37</v>
      </c>
      <c r="AC17" s="6" t="s">
        <v>37</v>
      </c>
      <c r="AD17" s="6" t="s">
        <v>49</v>
      </c>
      <c r="AE17" s="6" t="s">
        <v>36</v>
      </c>
      <c r="AF17" s="6" t="s">
        <v>36</v>
      </c>
      <c r="AG17" s="9" t="s">
        <v>49</v>
      </c>
    </row>
    <row r="18" spans="1:33" x14ac:dyDescent="0.25">
      <c r="B18" s="22" t="s">
        <v>64</v>
      </c>
      <c r="C18" s="6" t="s">
        <v>35</v>
      </c>
      <c r="D18" s="6" t="s">
        <v>37</v>
      </c>
      <c r="E18" s="6" t="s">
        <v>37</v>
      </c>
      <c r="F18" s="6" t="s">
        <v>49</v>
      </c>
      <c r="G18" s="6" t="s">
        <v>36</v>
      </c>
      <c r="H18" s="6" t="s">
        <v>36</v>
      </c>
      <c r="I18" s="6" t="s">
        <v>49</v>
      </c>
      <c r="J18" s="6" t="s">
        <v>35</v>
      </c>
      <c r="K18" s="6" t="s">
        <v>35</v>
      </c>
      <c r="L18" s="6" t="s">
        <v>37</v>
      </c>
      <c r="M18" s="6" t="s">
        <v>37</v>
      </c>
      <c r="N18" s="6" t="s">
        <v>49</v>
      </c>
      <c r="O18" s="6" t="s">
        <v>36</v>
      </c>
      <c r="P18" s="6" t="s">
        <v>36</v>
      </c>
      <c r="Q18" s="6" t="s">
        <v>49</v>
      </c>
      <c r="R18" s="6" t="s">
        <v>35</v>
      </c>
      <c r="S18" s="6" t="s">
        <v>35</v>
      </c>
      <c r="T18" s="6" t="s">
        <v>37</v>
      </c>
      <c r="U18" s="6" t="s">
        <v>37</v>
      </c>
      <c r="V18" s="6" t="s">
        <v>49</v>
      </c>
      <c r="W18" s="6" t="s">
        <v>36</v>
      </c>
      <c r="X18" s="6" t="s">
        <v>36</v>
      </c>
      <c r="Y18" s="6" t="s">
        <v>49</v>
      </c>
      <c r="Z18" s="6" t="s">
        <v>35</v>
      </c>
      <c r="AA18" s="6" t="s">
        <v>35</v>
      </c>
      <c r="AB18" s="6" t="s">
        <v>37</v>
      </c>
      <c r="AC18" s="6" t="s">
        <v>37</v>
      </c>
      <c r="AD18" s="6" t="s">
        <v>49</v>
      </c>
      <c r="AE18" s="6" t="s">
        <v>36</v>
      </c>
      <c r="AF18" s="6" t="s">
        <v>36</v>
      </c>
      <c r="AG18" s="9" t="s">
        <v>49</v>
      </c>
    </row>
    <row r="19" spans="1:33" x14ac:dyDescent="0.25">
      <c r="B19" s="22" t="s">
        <v>65</v>
      </c>
      <c r="C19" s="6" t="s">
        <v>35</v>
      </c>
      <c r="D19" s="6" t="s">
        <v>37</v>
      </c>
      <c r="E19" s="6" t="s">
        <v>37</v>
      </c>
      <c r="F19" s="6" t="s">
        <v>49</v>
      </c>
      <c r="G19" s="6" t="s">
        <v>36</v>
      </c>
      <c r="H19" s="6" t="s">
        <v>36</v>
      </c>
      <c r="I19" s="6" t="s">
        <v>49</v>
      </c>
      <c r="J19" s="6" t="s">
        <v>35</v>
      </c>
      <c r="K19" s="6" t="s">
        <v>35</v>
      </c>
      <c r="L19" s="6" t="s">
        <v>37</v>
      </c>
      <c r="M19" s="6" t="s">
        <v>37</v>
      </c>
      <c r="N19" s="6" t="s">
        <v>49</v>
      </c>
      <c r="O19" s="6" t="s">
        <v>36</v>
      </c>
      <c r="P19" s="6" t="s">
        <v>36</v>
      </c>
      <c r="Q19" s="6" t="s">
        <v>49</v>
      </c>
      <c r="R19" s="6" t="s">
        <v>35</v>
      </c>
      <c r="S19" s="6" t="s">
        <v>35</v>
      </c>
      <c r="T19" s="6" t="s">
        <v>37</v>
      </c>
      <c r="U19" s="6" t="s">
        <v>37</v>
      </c>
      <c r="V19" s="6" t="s">
        <v>49</v>
      </c>
      <c r="W19" s="6" t="s">
        <v>36</v>
      </c>
      <c r="X19" s="6" t="s">
        <v>36</v>
      </c>
      <c r="Y19" s="6" t="s">
        <v>49</v>
      </c>
      <c r="Z19" s="6" t="s">
        <v>35</v>
      </c>
      <c r="AA19" s="6" t="s">
        <v>35</v>
      </c>
      <c r="AB19" s="6" t="s">
        <v>37</v>
      </c>
      <c r="AC19" s="6" t="s">
        <v>37</v>
      </c>
      <c r="AD19" s="6" t="s">
        <v>49</v>
      </c>
      <c r="AE19" s="6" t="s">
        <v>36</v>
      </c>
      <c r="AF19" s="6" t="s">
        <v>36</v>
      </c>
      <c r="AG19" s="9" t="s">
        <v>49</v>
      </c>
    </row>
    <row r="20" spans="1:33" x14ac:dyDescent="0.25">
      <c r="B20" s="22" t="s">
        <v>66</v>
      </c>
      <c r="C20" s="6" t="s">
        <v>35</v>
      </c>
      <c r="D20" s="6" t="s">
        <v>37</v>
      </c>
      <c r="E20" s="6" t="s">
        <v>37</v>
      </c>
      <c r="F20" s="6" t="s">
        <v>49</v>
      </c>
      <c r="G20" s="6" t="s">
        <v>36</v>
      </c>
      <c r="H20" s="6" t="s">
        <v>36</v>
      </c>
      <c r="I20" s="6" t="s">
        <v>49</v>
      </c>
      <c r="J20" s="6" t="s">
        <v>35</v>
      </c>
      <c r="K20" s="6" t="s">
        <v>35</v>
      </c>
      <c r="L20" s="6" t="s">
        <v>37</v>
      </c>
      <c r="M20" s="6" t="s">
        <v>37</v>
      </c>
      <c r="N20" s="6" t="s">
        <v>49</v>
      </c>
      <c r="O20" s="6" t="s">
        <v>36</v>
      </c>
      <c r="P20" s="6" t="s">
        <v>36</v>
      </c>
      <c r="Q20" s="6" t="s">
        <v>49</v>
      </c>
      <c r="R20" s="6" t="s">
        <v>35</v>
      </c>
      <c r="S20" s="6" t="s">
        <v>35</v>
      </c>
      <c r="T20" s="6" t="s">
        <v>37</v>
      </c>
      <c r="U20" s="6" t="s">
        <v>37</v>
      </c>
      <c r="V20" s="6" t="s">
        <v>49</v>
      </c>
      <c r="W20" s="6" t="s">
        <v>36</v>
      </c>
      <c r="X20" s="6" t="s">
        <v>36</v>
      </c>
      <c r="Y20" s="6" t="s">
        <v>49</v>
      </c>
      <c r="Z20" s="6" t="s">
        <v>35</v>
      </c>
      <c r="AA20" s="6" t="s">
        <v>35</v>
      </c>
      <c r="AB20" s="6" t="s">
        <v>37</v>
      </c>
      <c r="AC20" s="6" t="s">
        <v>37</v>
      </c>
      <c r="AD20" s="6" t="s">
        <v>49</v>
      </c>
      <c r="AE20" s="6" t="s">
        <v>36</v>
      </c>
      <c r="AF20" s="6" t="s">
        <v>36</v>
      </c>
      <c r="AG20" s="9" t="s">
        <v>49</v>
      </c>
    </row>
    <row r="21" spans="1:33" x14ac:dyDescent="0.25">
      <c r="B21" s="23" t="s">
        <v>67</v>
      </c>
      <c r="C21" s="10" t="s">
        <v>35</v>
      </c>
      <c r="D21" s="10" t="s">
        <v>37</v>
      </c>
      <c r="E21" s="10" t="s">
        <v>37</v>
      </c>
      <c r="F21" s="10" t="s">
        <v>49</v>
      </c>
      <c r="G21" s="10" t="s">
        <v>36</v>
      </c>
      <c r="H21" s="10" t="s">
        <v>36</v>
      </c>
      <c r="I21" s="10" t="s">
        <v>49</v>
      </c>
      <c r="J21" s="10" t="s">
        <v>35</v>
      </c>
      <c r="K21" s="10" t="s">
        <v>35</v>
      </c>
      <c r="L21" s="10" t="s">
        <v>37</v>
      </c>
      <c r="M21" s="10" t="s">
        <v>37</v>
      </c>
      <c r="N21" s="10" t="s">
        <v>49</v>
      </c>
      <c r="O21" s="10" t="s">
        <v>36</v>
      </c>
      <c r="P21" s="10" t="s">
        <v>36</v>
      </c>
      <c r="Q21" s="10" t="s">
        <v>49</v>
      </c>
      <c r="R21" s="10" t="s">
        <v>35</v>
      </c>
      <c r="S21" s="10" t="s">
        <v>35</v>
      </c>
      <c r="T21" s="10" t="s">
        <v>37</v>
      </c>
      <c r="U21" s="10" t="s">
        <v>37</v>
      </c>
      <c r="V21" s="10" t="s">
        <v>49</v>
      </c>
      <c r="W21" s="10" t="s">
        <v>36</v>
      </c>
      <c r="X21" s="10" t="s">
        <v>36</v>
      </c>
      <c r="Y21" s="10" t="s">
        <v>49</v>
      </c>
      <c r="Z21" s="10" t="s">
        <v>35</v>
      </c>
      <c r="AA21" s="10" t="s">
        <v>35</v>
      </c>
      <c r="AB21" s="10" t="s">
        <v>37</v>
      </c>
      <c r="AC21" s="10" t="s">
        <v>37</v>
      </c>
      <c r="AD21" s="10" t="s">
        <v>49</v>
      </c>
      <c r="AE21" s="10" t="s">
        <v>36</v>
      </c>
      <c r="AF21" s="10" t="s">
        <v>36</v>
      </c>
      <c r="AG21" s="11" t="s">
        <v>49</v>
      </c>
    </row>
    <row r="23" spans="1:33" x14ac:dyDescent="0.25">
      <c r="A23" s="1" t="s">
        <v>68</v>
      </c>
    </row>
    <row r="24" spans="1:33" x14ac:dyDescent="0.25">
      <c r="A24" s="24" t="s">
        <v>1</v>
      </c>
      <c r="B24" s="3" t="s">
        <v>2</v>
      </c>
      <c r="C24" s="3" t="s">
        <v>3</v>
      </c>
      <c r="D24" s="3" t="s">
        <v>4</v>
      </c>
      <c r="E24" s="3" t="s">
        <v>5</v>
      </c>
      <c r="F24" s="3" t="s">
        <v>6</v>
      </c>
      <c r="G24" s="3" t="s">
        <v>7</v>
      </c>
      <c r="H24" s="3" t="s">
        <v>8</v>
      </c>
      <c r="I24" s="3" t="s">
        <v>9</v>
      </c>
      <c r="J24" s="3" t="s">
        <v>10</v>
      </c>
      <c r="K24" s="3" t="s">
        <v>11</v>
      </c>
      <c r="L24" s="3" t="s">
        <v>12</v>
      </c>
      <c r="M24" s="3" t="s">
        <v>13</v>
      </c>
      <c r="N24" s="3" t="s">
        <v>14</v>
      </c>
      <c r="O24" s="3" t="s">
        <v>15</v>
      </c>
      <c r="P24" s="3" t="s">
        <v>16</v>
      </c>
      <c r="Q24" s="3" t="s">
        <v>17</v>
      </c>
      <c r="R24" s="3" t="s">
        <v>18</v>
      </c>
      <c r="S24" s="3" t="s">
        <v>19</v>
      </c>
      <c r="T24" s="3" t="s">
        <v>20</v>
      </c>
      <c r="U24" s="3" t="s">
        <v>21</v>
      </c>
      <c r="V24" s="3" t="s">
        <v>22</v>
      </c>
      <c r="W24" s="3" t="s">
        <v>23</v>
      </c>
      <c r="X24" s="3" t="s">
        <v>24</v>
      </c>
      <c r="Y24" s="3" t="s">
        <v>25</v>
      </c>
      <c r="Z24" s="3" t="s">
        <v>26</v>
      </c>
      <c r="AA24" s="3" t="s">
        <v>27</v>
      </c>
      <c r="AB24" s="3" t="s">
        <v>28</v>
      </c>
      <c r="AC24" s="3" t="s">
        <v>29</v>
      </c>
      <c r="AD24" s="3" t="s">
        <v>30</v>
      </c>
      <c r="AE24" s="3" t="s">
        <v>31</v>
      </c>
      <c r="AF24" s="3" t="s">
        <v>32</v>
      </c>
      <c r="AG24" s="4" t="s">
        <v>33</v>
      </c>
    </row>
    <row r="25" spans="1:33" x14ac:dyDescent="0.25">
      <c r="A25" s="5" t="s">
        <v>34</v>
      </c>
      <c r="B25" s="6" t="s">
        <v>35</v>
      </c>
      <c r="C25" s="7" t="str">
        <f>IF(COUNTIF(C$3:C$21,$B25&amp;" "&amp;$A25)&gt;=Description!C3,"Passed", "Failed")</f>
        <v>Failed</v>
      </c>
      <c r="D25" s="7" t="str">
        <f>IF(COUNTIF(D$3:D$21,$B25&amp;" "&amp;$A25)&gt;=Description!D3,"Passed", "Failed")</f>
        <v>Failed</v>
      </c>
      <c r="E25" s="7" t="str">
        <f>IF(COUNTIF(E$3:E$21,$B25&amp;" "&amp;$A25)&gt;=Description!E3,"Passed", "Failed")</f>
        <v>Failed</v>
      </c>
      <c r="F25" s="7" t="str">
        <f>IF(COUNTIF(F$3:F$21,$B25&amp;" "&amp;$A25)&gt;=Description!F3,"Passed", "Failed")</f>
        <v>Failed</v>
      </c>
      <c r="G25" s="7" t="str">
        <f>IF(COUNTIF(G$3:G$21,$B25&amp;" "&amp;$A25)&gt;=Description!G3,"Passed", "Failed")</f>
        <v>Failed</v>
      </c>
      <c r="H25" s="7" t="str">
        <f>IF(COUNTIF(H$3:H$21,$B25&amp;" "&amp;$A25)&gt;=Description!H3,"Passed", "Failed")</f>
        <v>Failed</v>
      </c>
      <c r="I25" s="7" t="str">
        <f>IF(COUNTIF(I$3:I$21,$B25&amp;" "&amp;$A25)&gt;=Description!I3,"Passed", "Failed")</f>
        <v>Failed</v>
      </c>
      <c r="J25" s="7" t="str">
        <f>IF(COUNTIF(J$3:J$21,$B25&amp;" "&amp;$A25)&gt;=Description!J3,"Passed", "Failed")</f>
        <v>Failed</v>
      </c>
      <c r="K25" s="7" t="str">
        <f>IF(COUNTIF(K$3:K$21,$B25&amp;" "&amp;$A25)&gt;=Description!K3,"Passed", "Failed")</f>
        <v>Failed</v>
      </c>
      <c r="L25" s="7" t="str">
        <f>IF(COUNTIF(L$3:L$21,$B25&amp;" "&amp;$A25)&gt;=Description!L3,"Passed", "Failed")</f>
        <v>Failed</v>
      </c>
      <c r="M25" s="7" t="str">
        <f>IF(COUNTIF(M$3:M$21,$B25&amp;" "&amp;$A25)&gt;=Description!M3,"Passed", "Failed")</f>
        <v>Failed</v>
      </c>
      <c r="N25" s="7" t="str">
        <f>IF(COUNTIF(N$3:N$21,$B25&amp;" "&amp;$A25)&gt;=Description!N3,"Passed", "Failed")</f>
        <v>Failed</v>
      </c>
      <c r="O25" s="7" t="str">
        <f>IF(COUNTIF(O$3:O$21,$B25&amp;" "&amp;$A25)&gt;=Description!O3,"Passed", "Failed")</f>
        <v>Failed</v>
      </c>
      <c r="P25" s="7" t="str">
        <f>IF(COUNTIF(P$3:P$21,$B25&amp;" "&amp;$A25)&gt;=Description!P3,"Passed", "Failed")</f>
        <v>Failed</v>
      </c>
      <c r="Q25" s="7" t="str">
        <f>IF(COUNTIF(Q$3:Q$21,$B25&amp;" "&amp;$A25)&gt;=Description!Q3,"Passed", "Failed")</f>
        <v>Failed</v>
      </c>
      <c r="R25" s="7" t="str">
        <f>IF(COUNTIF(R$3:R$21,$B25&amp;" "&amp;$A25)&gt;=Description!R3,"Passed", "Failed")</f>
        <v>Failed</v>
      </c>
      <c r="S25" s="7" t="str">
        <f>IF(COUNTIF(S$3:S$21,$B25&amp;" "&amp;$A25)&gt;=Description!S3,"Passed", "Failed")</f>
        <v>Failed</v>
      </c>
      <c r="T25" s="7" t="str">
        <f>IF(COUNTIF(T$3:T$21,$B25&amp;" "&amp;$A25)&gt;=Description!T3,"Passed", "Failed")</f>
        <v>Failed</v>
      </c>
      <c r="U25" s="7" t="str">
        <f>IF(COUNTIF(U$3:U$21,$B25&amp;" "&amp;$A25)&gt;=Description!U3,"Passed", "Failed")</f>
        <v>Failed</v>
      </c>
      <c r="V25" s="7" t="str">
        <f>IF(COUNTIF(V$3:V$21,$B25&amp;" "&amp;$A25)&gt;=Description!V3,"Passed", "Failed")</f>
        <v>Failed</v>
      </c>
      <c r="W25" s="7" t="str">
        <f>IF(COUNTIF(W$3:W$21,$B25&amp;" "&amp;$A25)&gt;=Description!W3,"Passed", "Failed")</f>
        <v>Failed</v>
      </c>
      <c r="X25" s="7" t="str">
        <f>IF(COUNTIF(X$3:X$21,$B25&amp;" "&amp;$A25)&gt;=Description!X3,"Passed", "Failed")</f>
        <v>Failed</v>
      </c>
      <c r="Y25" s="7" t="str">
        <f>IF(COUNTIF(Y$3:Y$21,$B25&amp;" "&amp;$A25)&gt;=Description!Y3,"Passed", "Failed")</f>
        <v>Failed</v>
      </c>
      <c r="Z25" s="7" t="str">
        <f>IF(COUNTIF(Z$3:Z$21,$B25&amp;" "&amp;$A25)&gt;=Description!Z3,"Passed", "Failed")</f>
        <v>Failed</v>
      </c>
      <c r="AA25" s="7" t="str">
        <f>IF(COUNTIF(AA$3:AA$21,$B25&amp;" "&amp;$A25)&gt;=Description!AA3,"Passed", "Failed")</f>
        <v>Failed</v>
      </c>
      <c r="AB25" s="7" t="str">
        <f>IF(COUNTIF(AB$3:AB$21,$B25&amp;" "&amp;$A25)&gt;=Description!AB3,"Passed", "Failed")</f>
        <v>Failed</v>
      </c>
      <c r="AC25" s="7" t="str">
        <f>IF(COUNTIF(AC$3:AC$21,$B25&amp;" "&amp;$A25)&gt;=Description!AC3,"Passed", "Failed")</f>
        <v>Failed</v>
      </c>
      <c r="AD25" s="7" t="str">
        <f>IF(COUNTIF(AD$3:AD$21,$B25&amp;" "&amp;$A25)&gt;=Description!AD3,"Passed", "Failed")</f>
        <v>Failed</v>
      </c>
      <c r="AE25" s="7" t="str">
        <f>IF(COUNTIF(AE$3:AE$21,$B25&amp;" "&amp;$A25)&gt;=Description!AE3,"Passed", "Failed")</f>
        <v>Failed</v>
      </c>
      <c r="AF25" s="7" t="str">
        <f>IF(COUNTIF(AF$3:AF$21,$B25&amp;" "&amp;$A25)&gt;=Description!AF3,"Passed", "Failed")</f>
        <v>Failed</v>
      </c>
      <c r="AG25" s="7" t="str">
        <f>IF(COUNTIF(AG$3:AG$21,$B25&amp;" "&amp;$A25)&gt;=Description!AG3,"Passed", "Failed")</f>
        <v>Failed</v>
      </c>
    </row>
    <row r="26" spans="1:33" x14ac:dyDescent="0.25">
      <c r="A26" s="5" t="s">
        <v>34</v>
      </c>
      <c r="B26" s="6" t="s">
        <v>36</v>
      </c>
      <c r="C26" s="7" t="str">
        <f>IF(COUNTIF(C$3:C$21,$B26&amp;" "&amp;$A26)&gt;=Description!C4,"Passed", "Failed")</f>
        <v>Failed</v>
      </c>
      <c r="D26" s="7" t="str">
        <f>IF(COUNTIF(D$3:D$21,$B26&amp;" "&amp;$A26)&gt;=Description!D4,"Passed", "Failed")</f>
        <v>Failed</v>
      </c>
      <c r="E26" s="7" t="str">
        <f>IF(COUNTIF(E$3:E$21,$B26&amp;" "&amp;$A26)&gt;=Description!E4,"Passed", "Failed")</f>
        <v>Failed</v>
      </c>
      <c r="F26" s="7" t="str">
        <f>IF(COUNTIF(F$3:F$21,$B26&amp;" "&amp;$A26)&gt;=Description!F4,"Passed", "Failed")</f>
        <v>Failed</v>
      </c>
      <c r="G26" s="7" t="str">
        <f>IF(COUNTIF(G$3:G$21,$B26&amp;" "&amp;$A26)&gt;=Description!G4,"Passed", "Failed")</f>
        <v>Failed</v>
      </c>
      <c r="H26" s="7" t="str">
        <f>IF(COUNTIF(H$3:H$21,$B26&amp;" "&amp;$A26)&gt;=Description!H4,"Passed", "Failed")</f>
        <v>Failed</v>
      </c>
      <c r="I26" s="7" t="str">
        <f>IF(COUNTIF(I$3:I$21,$B26&amp;" "&amp;$A26)&gt;=Description!I4,"Passed", "Failed")</f>
        <v>Failed</v>
      </c>
      <c r="J26" s="7" t="str">
        <f>IF(COUNTIF(J$3:J$21,$B26&amp;" "&amp;$A26)&gt;=Description!J4,"Passed", "Failed")</f>
        <v>Failed</v>
      </c>
      <c r="K26" s="7" t="str">
        <f>IF(COUNTIF(K$3:K$21,$B26&amp;" "&amp;$A26)&gt;=Description!K4,"Passed", "Failed")</f>
        <v>Failed</v>
      </c>
      <c r="L26" s="7" t="str">
        <f>IF(COUNTIF(L$3:L$21,$B26&amp;" "&amp;$A26)&gt;=Description!L4,"Passed", "Failed")</f>
        <v>Failed</v>
      </c>
      <c r="M26" s="7" t="str">
        <f>IF(COUNTIF(M$3:M$21,$B26&amp;" "&amp;$A26)&gt;=Description!M4,"Passed", "Failed")</f>
        <v>Failed</v>
      </c>
      <c r="N26" s="7" t="str">
        <f>IF(COUNTIF(N$3:N$21,$B26&amp;" "&amp;$A26)&gt;=Description!N4,"Passed", "Failed")</f>
        <v>Failed</v>
      </c>
      <c r="O26" s="7" t="str">
        <f>IF(COUNTIF(O$3:O$21,$B26&amp;" "&amp;$A26)&gt;=Description!O4,"Passed", "Failed")</f>
        <v>Failed</v>
      </c>
      <c r="P26" s="7" t="str">
        <f>IF(COUNTIF(P$3:P$21,$B26&amp;" "&amp;$A26)&gt;=Description!P4,"Passed", "Failed")</f>
        <v>Failed</v>
      </c>
      <c r="Q26" s="7" t="str">
        <f>IF(COUNTIF(Q$3:Q$21,$B26&amp;" "&amp;$A26)&gt;=Description!Q4,"Passed", "Failed")</f>
        <v>Failed</v>
      </c>
      <c r="R26" s="7" t="str">
        <f>IF(COUNTIF(R$3:R$21,$B26&amp;" "&amp;$A26)&gt;=Description!R4,"Passed", "Failed")</f>
        <v>Failed</v>
      </c>
      <c r="S26" s="7" t="str">
        <f>IF(COUNTIF(S$3:S$21,$B26&amp;" "&amp;$A26)&gt;=Description!S4,"Passed", "Failed")</f>
        <v>Failed</v>
      </c>
      <c r="T26" s="7" t="str">
        <f>IF(COUNTIF(T$3:T$21,$B26&amp;" "&amp;$A26)&gt;=Description!T4,"Passed", "Failed")</f>
        <v>Failed</v>
      </c>
      <c r="U26" s="7" t="str">
        <f>IF(COUNTIF(U$3:U$21,$B26&amp;" "&amp;$A26)&gt;=Description!U4,"Passed", "Failed")</f>
        <v>Failed</v>
      </c>
      <c r="V26" s="7" t="str">
        <f>IF(COUNTIF(V$3:V$21,$B26&amp;" "&amp;$A26)&gt;=Description!V4,"Passed", "Failed")</f>
        <v>Failed</v>
      </c>
      <c r="W26" s="7" t="str">
        <f>IF(COUNTIF(W$3:W$21,$B26&amp;" "&amp;$A26)&gt;=Description!W4,"Passed", "Failed")</f>
        <v>Failed</v>
      </c>
      <c r="X26" s="7" t="str">
        <f>IF(COUNTIF(X$3:X$21,$B26&amp;" "&amp;$A26)&gt;=Description!X4,"Passed", "Failed")</f>
        <v>Failed</v>
      </c>
      <c r="Y26" s="7" t="str">
        <f>IF(COUNTIF(Y$3:Y$21,$B26&amp;" "&amp;$A26)&gt;=Description!Y4,"Passed", "Failed")</f>
        <v>Failed</v>
      </c>
      <c r="Z26" s="7" t="str">
        <f>IF(COUNTIF(Z$3:Z$21,$B26&amp;" "&amp;$A26)&gt;=Description!Z4,"Passed", "Failed")</f>
        <v>Failed</v>
      </c>
      <c r="AA26" s="7" t="str">
        <f>IF(COUNTIF(AA$3:AA$21,$B26&amp;" "&amp;$A26)&gt;=Description!AA4,"Passed", "Failed")</f>
        <v>Failed</v>
      </c>
      <c r="AB26" s="7" t="str">
        <f>IF(COUNTIF(AB$3:AB$21,$B26&amp;" "&amp;$A26)&gt;=Description!AB4,"Passed", "Failed")</f>
        <v>Failed</v>
      </c>
      <c r="AC26" s="7" t="str">
        <f>IF(COUNTIF(AC$3:AC$21,$B26&amp;" "&amp;$A26)&gt;=Description!AC4,"Passed", "Failed")</f>
        <v>Failed</v>
      </c>
      <c r="AD26" s="7" t="str">
        <f>IF(COUNTIF(AD$3:AD$21,$B26&amp;" "&amp;$A26)&gt;=Description!AD4,"Passed", "Failed")</f>
        <v>Failed</v>
      </c>
      <c r="AE26" s="7" t="str">
        <f>IF(COUNTIF(AE$3:AE$21,$B26&amp;" "&amp;$A26)&gt;=Description!AE4,"Passed", "Failed")</f>
        <v>Failed</v>
      </c>
      <c r="AF26" s="7" t="str">
        <f>IF(COUNTIF(AF$3:AF$21,$B26&amp;" "&amp;$A26)&gt;=Description!AF4,"Passed", "Failed")</f>
        <v>Failed</v>
      </c>
      <c r="AG26" s="7" t="str">
        <f>IF(COUNTIF(AG$3:AG$21,$B26&amp;" "&amp;$A26)&gt;=Description!AG4,"Passed", "Failed")</f>
        <v>Failed</v>
      </c>
    </row>
    <row r="27" spans="1:33" x14ac:dyDescent="0.25">
      <c r="A27" s="5" t="s">
        <v>34</v>
      </c>
      <c r="B27" s="10" t="s">
        <v>37</v>
      </c>
      <c r="C27" s="7" t="str">
        <f>IF(COUNTIF(C$3:C$21,$B27&amp;" "&amp;$A27)&gt;=Description!C5,"Passed", "Failed")</f>
        <v>Failed</v>
      </c>
      <c r="D27" s="7" t="str">
        <f>IF(COUNTIF(D$3:D$21,$B27&amp;" "&amp;$A27)&gt;=Description!D5,"Passed", "Failed")</f>
        <v>Failed</v>
      </c>
      <c r="E27" s="7" t="str">
        <f>IF(COUNTIF(E$3:E$21,$B27&amp;" "&amp;$A27)&gt;=Description!E5,"Passed", "Failed")</f>
        <v>Failed</v>
      </c>
      <c r="F27" s="7" t="str">
        <f>IF(COUNTIF(F$3:F$21,$B27&amp;" "&amp;$A27)&gt;=Description!F5,"Passed", "Failed")</f>
        <v>Failed</v>
      </c>
      <c r="G27" s="7" t="str">
        <f>IF(COUNTIF(G$3:G$21,$B27&amp;" "&amp;$A27)&gt;=Description!G5,"Passed", "Failed")</f>
        <v>Failed</v>
      </c>
      <c r="H27" s="7" t="str">
        <f>IF(COUNTIF(H$3:H$21,$B27&amp;" "&amp;$A27)&gt;=Description!H5,"Passed", "Failed")</f>
        <v>Failed</v>
      </c>
      <c r="I27" s="7" t="str">
        <f>IF(COUNTIF(I$3:I$21,$B27&amp;" "&amp;$A27)&gt;=Description!I5,"Passed", "Failed")</f>
        <v>Failed</v>
      </c>
      <c r="J27" s="7" t="str">
        <f>IF(COUNTIF(J$3:J$21,$B27&amp;" "&amp;$A27)&gt;=Description!J5,"Passed", "Failed")</f>
        <v>Failed</v>
      </c>
      <c r="K27" s="7" t="str">
        <f>IF(COUNTIF(K$3:K$21,$B27&amp;" "&amp;$A27)&gt;=Description!K5,"Passed", "Failed")</f>
        <v>Failed</v>
      </c>
      <c r="L27" s="7" t="str">
        <f>IF(COUNTIF(L$3:L$21,$B27&amp;" "&amp;$A27)&gt;=Description!L5,"Passed", "Failed")</f>
        <v>Failed</v>
      </c>
      <c r="M27" s="7" t="str">
        <f>IF(COUNTIF(M$3:M$21,$B27&amp;" "&amp;$A27)&gt;=Description!M5,"Passed", "Failed")</f>
        <v>Failed</v>
      </c>
      <c r="N27" s="7" t="str">
        <f>IF(COUNTIF(N$3:N$21,$B27&amp;" "&amp;$A27)&gt;=Description!N5,"Passed", "Failed")</f>
        <v>Failed</v>
      </c>
      <c r="O27" s="7" t="str">
        <f>IF(COUNTIF(O$3:O$21,$B27&amp;" "&amp;$A27)&gt;=Description!O5,"Passed", "Failed")</f>
        <v>Failed</v>
      </c>
      <c r="P27" s="7" t="str">
        <f>IF(COUNTIF(P$3:P$21,$B27&amp;" "&amp;$A27)&gt;=Description!P5,"Passed", "Failed")</f>
        <v>Failed</v>
      </c>
      <c r="Q27" s="7" t="str">
        <f>IF(COUNTIF(Q$3:Q$21,$B27&amp;" "&amp;$A27)&gt;=Description!Q5,"Passed", "Failed")</f>
        <v>Failed</v>
      </c>
      <c r="R27" s="7" t="str">
        <f>IF(COUNTIF(R$3:R$21,$B27&amp;" "&amp;$A27)&gt;=Description!R5,"Passed", "Failed")</f>
        <v>Failed</v>
      </c>
      <c r="S27" s="7" t="str">
        <f>IF(COUNTIF(S$3:S$21,$B27&amp;" "&amp;$A27)&gt;=Description!S5,"Passed", "Failed")</f>
        <v>Failed</v>
      </c>
      <c r="T27" s="7" t="str">
        <f>IF(COUNTIF(T$3:T$21,$B27&amp;" "&amp;$A27)&gt;=Description!T5,"Passed", "Failed")</f>
        <v>Failed</v>
      </c>
      <c r="U27" s="7" t="str">
        <f>IF(COUNTIF(U$3:U$21,$B27&amp;" "&amp;$A27)&gt;=Description!U5,"Passed", "Failed")</f>
        <v>Failed</v>
      </c>
      <c r="V27" s="7" t="str">
        <f>IF(COUNTIF(V$3:V$21,$B27&amp;" "&amp;$A27)&gt;=Description!V5,"Passed", "Failed")</f>
        <v>Failed</v>
      </c>
      <c r="W27" s="7" t="str">
        <f>IF(COUNTIF(W$3:W$21,$B27&amp;" "&amp;$A27)&gt;=Description!W5,"Passed", "Failed")</f>
        <v>Failed</v>
      </c>
      <c r="X27" s="7" t="str">
        <f>IF(COUNTIF(X$3:X$21,$B27&amp;" "&amp;$A27)&gt;=Description!X5,"Passed", "Failed")</f>
        <v>Failed</v>
      </c>
      <c r="Y27" s="7" t="str">
        <f>IF(COUNTIF(Y$3:Y$21,$B27&amp;" "&amp;$A27)&gt;=Description!Y5,"Passed", "Failed")</f>
        <v>Failed</v>
      </c>
      <c r="Z27" s="7" t="str">
        <f>IF(COUNTIF(Z$3:Z$21,$B27&amp;" "&amp;$A27)&gt;=Description!Z5,"Passed", "Failed")</f>
        <v>Failed</v>
      </c>
      <c r="AA27" s="7" t="str">
        <f>IF(COUNTIF(AA$3:AA$21,$B27&amp;" "&amp;$A27)&gt;=Description!AA5,"Passed", "Failed")</f>
        <v>Failed</v>
      </c>
      <c r="AB27" s="7" t="str">
        <f>IF(COUNTIF(AB$3:AB$21,$B27&amp;" "&amp;$A27)&gt;=Description!AB5,"Passed", "Failed")</f>
        <v>Failed</v>
      </c>
      <c r="AC27" s="7" t="str">
        <f>IF(COUNTIF(AC$3:AC$21,$B27&amp;" "&amp;$A27)&gt;=Description!AC5,"Passed", "Failed")</f>
        <v>Failed</v>
      </c>
      <c r="AD27" s="7" t="str">
        <f>IF(COUNTIF(AD$3:AD$21,$B27&amp;" "&amp;$A27)&gt;=Description!AD5,"Passed", "Failed")</f>
        <v>Failed</v>
      </c>
      <c r="AE27" s="7" t="str">
        <f>IF(COUNTIF(AE$3:AE$21,$B27&amp;" "&amp;$A27)&gt;=Description!AE5,"Passed", "Failed")</f>
        <v>Failed</v>
      </c>
      <c r="AF27" s="7" t="str">
        <f>IF(COUNTIF(AF$3:AF$21,$B27&amp;" "&amp;$A27)&gt;=Description!AF5,"Passed", "Failed")</f>
        <v>Failed</v>
      </c>
      <c r="AG27" s="7" t="str">
        <f>IF(COUNTIF(AG$3:AG$21,$B27&amp;" "&amp;$A27)&gt;=Description!AG5,"Passed", "Failed")</f>
        <v>Failed</v>
      </c>
    </row>
    <row r="28" spans="1:33" x14ac:dyDescent="0.25">
      <c r="A28" s="12" t="s">
        <v>38</v>
      </c>
      <c r="B28" s="6" t="s">
        <v>35</v>
      </c>
      <c r="C28" s="7" t="str">
        <f>IF(COUNTIF(C$3:C$21,$B28&amp;" "&amp;$A28)&gt;=Description!C6,"Passed", "Failed")</f>
        <v>Failed</v>
      </c>
      <c r="D28" s="7" t="str">
        <f>IF(COUNTIF(D$3:D$21,$B28&amp;" "&amp;$A28)&gt;=Description!D6,"Passed", "Failed")</f>
        <v>Failed</v>
      </c>
      <c r="E28" s="7" t="str">
        <f>IF(COUNTIF(E$3:E$21,$B28&amp;" "&amp;$A28)&gt;=Description!E6,"Passed", "Failed")</f>
        <v>Failed</v>
      </c>
      <c r="F28" s="7" t="str">
        <f>IF(COUNTIF(F$3:F$21,$B28&amp;" "&amp;$A28)&gt;=Description!F6,"Passed", "Failed")</f>
        <v>Failed</v>
      </c>
      <c r="G28" s="7" t="str">
        <f>IF(COUNTIF(G$3:G$21,$B28&amp;" "&amp;$A28)&gt;=Description!G6,"Passed", "Failed")</f>
        <v>Failed</v>
      </c>
      <c r="H28" s="7" t="str">
        <f>IF(COUNTIF(H$3:H$21,$B28&amp;" "&amp;$A28)&gt;=Description!H6,"Passed", "Failed")</f>
        <v>Failed</v>
      </c>
      <c r="I28" s="7" t="str">
        <f>IF(COUNTIF(I$3:I$21,$B28&amp;" "&amp;$A28)&gt;=Description!I6,"Passed", "Failed")</f>
        <v>Failed</v>
      </c>
      <c r="J28" s="7" t="str">
        <f>IF(COUNTIF(J$3:J$21,$B28&amp;" "&amp;$A28)&gt;=Description!J6,"Passed", "Failed")</f>
        <v>Failed</v>
      </c>
      <c r="K28" s="7" t="str">
        <f>IF(COUNTIF(K$3:K$21,$B28&amp;" "&amp;$A28)&gt;=Description!K6,"Passed", "Failed")</f>
        <v>Failed</v>
      </c>
      <c r="L28" s="7" t="str">
        <f>IF(COUNTIF(L$3:L$21,$B28&amp;" "&amp;$A28)&gt;=Description!L6,"Passed", "Failed")</f>
        <v>Failed</v>
      </c>
      <c r="M28" s="7" t="str">
        <f>IF(COUNTIF(M$3:M$21,$B28&amp;" "&amp;$A28)&gt;=Description!M6,"Passed", "Failed")</f>
        <v>Failed</v>
      </c>
      <c r="N28" s="7" t="str">
        <f>IF(COUNTIF(N$3:N$21,$B28&amp;" "&amp;$A28)&gt;=Description!N6,"Passed", "Failed")</f>
        <v>Failed</v>
      </c>
      <c r="O28" s="7" t="str">
        <f>IF(COUNTIF(O$3:O$21,$B28&amp;" "&amp;$A28)&gt;=Description!O6,"Passed", "Failed")</f>
        <v>Failed</v>
      </c>
      <c r="P28" s="7" t="str">
        <f>IF(COUNTIF(P$3:P$21,$B28&amp;" "&amp;$A28)&gt;=Description!P6,"Passed", "Failed")</f>
        <v>Failed</v>
      </c>
      <c r="Q28" s="7" t="str">
        <f>IF(COUNTIF(Q$3:Q$21,$B28&amp;" "&amp;$A28)&gt;=Description!Q6,"Passed", "Failed")</f>
        <v>Failed</v>
      </c>
      <c r="R28" s="7" t="str">
        <f>IF(COUNTIF(R$3:R$21,$B28&amp;" "&amp;$A28)&gt;=Description!R6,"Passed", "Failed")</f>
        <v>Failed</v>
      </c>
      <c r="S28" s="7" t="str">
        <f>IF(COUNTIF(S$3:S$21,$B28&amp;" "&amp;$A28)&gt;=Description!S6,"Passed", "Failed")</f>
        <v>Failed</v>
      </c>
      <c r="T28" s="7" t="str">
        <f>IF(COUNTIF(T$3:T$21,$B28&amp;" "&amp;$A28)&gt;=Description!T6,"Passed", "Failed")</f>
        <v>Failed</v>
      </c>
      <c r="U28" s="7" t="str">
        <f>IF(COUNTIF(U$3:U$21,$B28&amp;" "&amp;$A28)&gt;=Description!U6,"Passed", "Failed")</f>
        <v>Failed</v>
      </c>
      <c r="V28" s="7" t="str">
        <f>IF(COUNTIF(V$3:V$21,$B28&amp;" "&amp;$A28)&gt;=Description!V6,"Passed", "Failed")</f>
        <v>Failed</v>
      </c>
      <c r="W28" s="7" t="str">
        <f>IF(COUNTIF(W$3:W$21,$B28&amp;" "&amp;$A28)&gt;=Description!W6,"Passed", "Failed")</f>
        <v>Failed</v>
      </c>
      <c r="X28" s="7" t="str">
        <f>IF(COUNTIF(X$3:X$21,$B28&amp;" "&amp;$A28)&gt;=Description!X6,"Passed", "Failed")</f>
        <v>Failed</v>
      </c>
      <c r="Y28" s="7" t="str">
        <f>IF(COUNTIF(Y$3:Y$21,$B28&amp;" "&amp;$A28)&gt;=Description!Y6,"Passed", "Failed")</f>
        <v>Failed</v>
      </c>
      <c r="Z28" s="7" t="str">
        <f>IF(COUNTIF(Z$3:Z$21,$B28&amp;" "&amp;$A28)&gt;=Description!Z6,"Passed", "Failed")</f>
        <v>Failed</v>
      </c>
      <c r="AA28" s="7" t="str">
        <f>IF(COUNTIF(AA$3:AA$21,$B28&amp;" "&amp;$A28)&gt;=Description!AA6,"Passed", "Failed")</f>
        <v>Failed</v>
      </c>
      <c r="AB28" s="7" t="str">
        <f>IF(COUNTIF(AB$3:AB$21,$B28&amp;" "&amp;$A28)&gt;=Description!AB6,"Passed", "Failed")</f>
        <v>Failed</v>
      </c>
      <c r="AC28" s="7" t="str">
        <f>IF(COUNTIF(AC$3:AC$21,$B28&amp;" "&amp;$A28)&gt;=Description!AC6,"Passed", "Failed")</f>
        <v>Failed</v>
      </c>
      <c r="AD28" s="7" t="str">
        <f>IF(COUNTIF(AD$3:AD$21,$B28&amp;" "&amp;$A28)&gt;=Description!AD6,"Passed", "Failed")</f>
        <v>Failed</v>
      </c>
      <c r="AE28" s="7" t="str">
        <f>IF(COUNTIF(AE$3:AE$21,$B28&amp;" "&amp;$A28)&gt;=Description!AE6,"Passed", "Failed")</f>
        <v>Failed</v>
      </c>
      <c r="AF28" s="7" t="str">
        <f>IF(COUNTIF(AF$3:AF$21,$B28&amp;" "&amp;$A28)&gt;=Description!AF6,"Passed", "Failed")</f>
        <v>Failed</v>
      </c>
      <c r="AG28" s="7" t="str">
        <f>IF(COUNTIF(AG$3:AG$21,$B28&amp;" "&amp;$A28)&gt;=Description!AG6,"Passed", "Failed")</f>
        <v>Failed</v>
      </c>
    </row>
    <row r="29" spans="1:33" x14ac:dyDescent="0.25">
      <c r="A29" s="5" t="s">
        <v>38</v>
      </c>
      <c r="B29" s="6" t="s">
        <v>36</v>
      </c>
      <c r="C29" s="7" t="str">
        <f>IF(COUNTIF(C$3:C$21,$B29&amp;" "&amp;$A29)&gt;=Description!C7,"Passed", "Failed")</f>
        <v>Failed</v>
      </c>
      <c r="D29" s="7" t="str">
        <f>IF(COUNTIF(D$3:D$21,$B29&amp;" "&amp;$A29)&gt;=Description!D7,"Passed", "Failed")</f>
        <v>Failed</v>
      </c>
      <c r="E29" s="7" t="str">
        <f>IF(COUNTIF(E$3:E$21,$B29&amp;" "&amp;$A29)&gt;=Description!E7,"Passed", "Failed")</f>
        <v>Failed</v>
      </c>
      <c r="F29" s="7" t="str">
        <f>IF(COUNTIF(F$3:F$21,$B29&amp;" "&amp;$A29)&gt;=Description!F7,"Passed", "Failed")</f>
        <v>Failed</v>
      </c>
      <c r="G29" s="7" t="str">
        <f>IF(COUNTIF(G$3:G$21,$B29&amp;" "&amp;$A29)&gt;=Description!G7,"Passed", "Failed")</f>
        <v>Failed</v>
      </c>
      <c r="H29" s="7" t="str">
        <f>IF(COUNTIF(H$3:H$21,$B29&amp;" "&amp;$A29)&gt;=Description!H7,"Passed", "Failed")</f>
        <v>Failed</v>
      </c>
      <c r="I29" s="7" t="str">
        <f>IF(COUNTIF(I$3:I$21,$B29&amp;" "&amp;$A29)&gt;=Description!I7,"Passed", "Failed")</f>
        <v>Failed</v>
      </c>
      <c r="J29" s="7" t="str">
        <f>IF(COUNTIF(J$3:J$21,$B29&amp;" "&amp;$A29)&gt;=Description!J7,"Passed", "Failed")</f>
        <v>Failed</v>
      </c>
      <c r="K29" s="7" t="str">
        <f>IF(COUNTIF(K$3:K$21,$B29&amp;" "&amp;$A29)&gt;=Description!K7,"Passed", "Failed")</f>
        <v>Failed</v>
      </c>
      <c r="L29" s="7" t="str">
        <f>IF(COUNTIF(L$3:L$21,$B29&amp;" "&amp;$A29)&gt;=Description!L7,"Passed", "Failed")</f>
        <v>Failed</v>
      </c>
      <c r="M29" s="7" t="str">
        <f>IF(COUNTIF(M$3:M$21,$B29&amp;" "&amp;$A29)&gt;=Description!M7,"Passed", "Failed")</f>
        <v>Failed</v>
      </c>
      <c r="N29" s="7" t="str">
        <f>IF(COUNTIF(N$3:N$21,$B29&amp;" "&amp;$A29)&gt;=Description!N7,"Passed", "Failed")</f>
        <v>Failed</v>
      </c>
      <c r="O29" s="7" t="str">
        <f>IF(COUNTIF(O$3:O$21,$B29&amp;" "&amp;$A29)&gt;=Description!O7,"Passed", "Failed")</f>
        <v>Failed</v>
      </c>
      <c r="P29" s="7" t="str">
        <f>IF(COUNTIF(P$3:P$21,$B29&amp;" "&amp;$A29)&gt;=Description!P7,"Passed", "Failed")</f>
        <v>Failed</v>
      </c>
      <c r="Q29" s="7" t="str">
        <f>IF(COUNTIF(Q$3:Q$21,$B29&amp;" "&amp;$A29)&gt;=Description!Q7,"Passed", "Failed")</f>
        <v>Failed</v>
      </c>
      <c r="R29" s="7" t="str">
        <f>IF(COUNTIF(R$3:R$21,$B29&amp;" "&amp;$A29)&gt;=Description!R7,"Passed", "Failed")</f>
        <v>Failed</v>
      </c>
      <c r="S29" s="7" t="str">
        <f>IF(COUNTIF(S$3:S$21,$B29&amp;" "&amp;$A29)&gt;=Description!S7,"Passed", "Failed")</f>
        <v>Failed</v>
      </c>
      <c r="T29" s="7" t="str">
        <f>IF(COUNTIF(T$3:T$21,$B29&amp;" "&amp;$A29)&gt;=Description!T7,"Passed", "Failed")</f>
        <v>Failed</v>
      </c>
      <c r="U29" s="7" t="str">
        <f>IF(COUNTIF(U$3:U$21,$B29&amp;" "&amp;$A29)&gt;=Description!U7,"Passed", "Failed")</f>
        <v>Failed</v>
      </c>
      <c r="V29" s="7" t="str">
        <f>IF(COUNTIF(V$3:V$21,$B29&amp;" "&amp;$A29)&gt;=Description!V7,"Passed", "Failed")</f>
        <v>Failed</v>
      </c>
      <c r="W29" s="7" t="str">
        <f>IF(COUNTIF(W$3:W$21,$B29&amp;" "&amp;$A29)&gt;=Description!W7,"Passed", "Failed")</f>
        <v>Failed</v>
      </c>
      <c r="X29" s="7" t="str">
        <f>IF(COUNTIF(X$3:X$21,$B29&amp;" "&amp;$A29)&gt;=Description!X7,"Passed", "Failed")</f>
        <v>Failed</v>
      </c>
      <c r="Y29" s="7" t="str">
        <f>IF(COUNTIF(Y$3:Y$21,$B29&amp;" "&amp;$A29)&gt;=Description!Y7,"Passed", "Failed")</f>
        <v>Failed</v>
      </c>
      <c r="Z29" s="7" t="str">
        <f>IF(COUNTIF(Z$3:Z$21,$B29&amp;" "&amp;$A29)&gt;=Description!Z7,"Passed", "Failed")</f>
        <v>Failed</v>
      </c>
      <c r="AA29" s="7" t="str">
        <f>IF(COUNTIF(AA$3:AA$21,$B29&amp;" "&amp;$A29)&gt;=Description!AA7,"Passed", "Failed")</f>
        <v>Failed</v>
      </c>
      <c r="AB29" s="7" t="str">
        <f>IF(COUNTIF(AB$3:AB$21,$B29&amp;" "&amp;$A29)&gt;=Description!AB7,"Passed", "Failed")</f>
        <v>Failed</v>
      </c>
      <c r="AC29" s="7" t="str">
        <f>IF(COUNTIF(AC$3:AC$21,$B29&amp;" "&amp;$A29)&gt;=Description!AC7,"Passed", "Failed")</f>
        <v>Failed</v>
      </c>
      <c r="AD29" s="7" t="str">
        <f>IF(COUNTIF(AD$3:AD$21,$B29&amp;" "&amp;$A29)&gt;=Description!AD7,"Passed", "Failed")</f>
        <v>Failed</v>
      </c>
      <c r="AE29" s="7" t="str">
        <f>IF(COUNTIF(AE$3:AE$21,$B29&amp;" "&amp;$A29)&gt;=Description!AE7,"Passed", "Failed")</f>
        <v>Failed</v>
      </c>
      <c r="AF29" s="7" t="str">
        <f>IF(COUNTIF(AF$3:AF$21,$B29&amp;" "&amp;$A29)&gt;=Description!AF7,"Passed", "Failed")</f>
        <v>Failed</v>
      </c>
      <c r="AG29" s="7" t="str">
        <f>IF(COUNTIF(AG$3:AG$21,$B29&amp;" "&amp;$A29)&gt;=Description!AG7,"Passed", "Failed")</f>
        <v>Failed</v>
      </c>
    </row>
    <row r="30" spans="1:33" x14ac:dyDescent="0.25">
      <c r="A30" s="13" t="s">
        <v>38</v>
      </c>
      <c r="B30" s="10" t="s">
        <v>37</v>
      </c>
      <c r="C30" s="7" t="str">
        <f>IF(COUNTIF(C$3:C$21,$B30&amp;" "&amp;$A30)&gt;=Description!C8,"Passed", "Failed")</f>
        <v>Failed</v>
      </c>
      <c r="D30" s="7" t="str">
        <f>IF(COUNTIF(D$3:D$21,$B30&amp;" "&amp;$A30)&gt;=Description!D8,"Passed", "Failed")</f>
        <v>Failed</v>
      </c>
      <c r="E30" s="7" t="str">
        <f>IF(COUNTIF(E$3:E$21,$B30&amp;" "&amp;$A30)&gt;=Description!E8,"Passed", "Failed")</f>
        <v>Failed</v>
      </c>
      <c r="F30" s="7" t="str">
        <f>IF(COUNTIF(F$3:F$21,$B30&amp;" "&amp;$A30)&gt;=Description!F8,"Passed", "Failed")</f>
        <v>Failed</v>
      </c>
      <c r="G30" s="7" t="str">
        <f>IF(COUNTIF(G$3:G$21,$B30&amp;" "&amp;$A30)&gt;=Description!G8,"Passed", "Failed")</f>
        <v>Failed</v>
      </c>
      <c r="H30" s="7" t="str">
        <f>IF(COUNTIF(H$3:H$21,$B30&amp;" "&amp;$A30)&gt;=Description!H8,"Passed", "Failed")</f>
        <v>Failed</v>
      </c>
      <c r="I30" s="7" t="str">
        <f>IF(COUNTIF(I$3:I$21,$B30&amp;" "&amp;$A30)&gt;=Description!I8,"Passed", "Failed")</f>
        <v>Failed</v>
      </c>
      <c r="J30" s="7" t="str">
        <f>IF(COUNTIF(J$3:J$21,$B30&amp;" "&amp;$A30)&gt;=Description!J8,"Passed", "Failed")</f>
        <v>Failed</v>
      </c>
      <c r="K30" s="7" t="str">
        <f>IF(COUNTIF(K$3:K$21,$B30&amp;" "&amp;$A30)&gt;=Description!K8,"Passed", "Failed")</f>
        <v>Failed</v>
      </c>
      <c r="L30" s="7" t="str">
        <f>IF(COUNTIF(L$3:L$21,$B30&amp;" "&amp;$A30)&gt;=Description!L8,"Passed", "Failed")</f>
        <v>Failed</v>
      </c>
      <c r="M30" s="7" t="str">
        <f>IF(COUNTIF(M$3:M$21,$B30&amp;" "&amp;$A30)&gt;=Description!M8,"Passed", "Failed")</f>
        <v>Failed</v>
      </c>
      <c r="N30" s="7" t="str">
        <f>IF(COUNTIF(N$3:N$21,$B30&amp;" "&amp;$A30)&gt;=Description!N8,"Passed", "Failed")</f>
        <v>Failed</v>
      </c>
      <c r="O30" s="7" t="str">
        <f>IF(COUNTIF(O$3:O$21,$B30&amp;" "&amp;$A30)&gt;=Description!O8,"Passed", "Failed")</f>
        <v>Failed</v>
      </c>
      <c r="P30" s="7" t="str">
        <f>IF(COUNTIF(P$3:P$21,$B30&amp;" "&amp;$A30)&gt;=Description!P8,"Passed", "Failed")</f>
        <v>Failed</v>
      </c>
      <c r="Q30" s="7" t="str">
        <f>IF(COUNTIF(Q$3:Q$21,$B30&amp;" "&amp;$A30)&gt;=Description!Q8,"Passed", "Failed")</f>
        <v>Failed</v>
      </c>
      <c r="R30" s="7" t="str">
        <f>IF(COUNTIF(R$3:R$21,$B30&amp;" "&amp;$A30)&gt;=Description!R8,"Passed", "Failed")</f>
        <v>Failed</v>
      </c>
      <c r="S30" s="7" t="str">
        <f>IF(COUNTIF(S$3:S$21,$B30&amp;" "&amp;$A30)&gt;=Description!S8,"Passed", "Failed")</f>
        <v>Failed</v>
      </c>
      <c r="T30" s="7" t="str">
        <f>IF(COUNTIF(T$3:T$21,$B30&amp;" "&amp;$A30)&gt;=Description!T8,"Passed", "Failed")</f>
        <v>Failed</v>
      </c>
      <c r="U30" s="7" t="str">
        <f>IF(COUNTIF(U$3:U$21,$B30&amp;" "&amp;$A30)&gt;=Description!U8,"Passed", "Failed")</f>
        <v>Failed</v>
      </c>
      <c r="V30" s="7" t="str">
        <f>IF(COUNTIF(V$3:V$21,$B30&amp;" "&amp;$A30)&gt;=Description!V8,"Passed", "Failed")</f>
        <v>Failed</v>
      </c>
      <c r="W30" s="7" t="str">
        <f>IF(COUNTIF(W$3:W$21,$B30&amp;" "&amp;$A30)&gt;=Description!W8,"Passed", "Failed")</f>
        <v>Failed</v>
      </c>
      <c r="X30" s="7" t="str">
        <f>IF(COUNTIF(X$3:X$21,$B30&amp;" "&amp;$A30)&gt;=Description!X8,"Passed", "Failed")</f>
        <v>Failed</v>
      </c>
      <c r="Y30" s="7" t="str">
        <f>IF(COUNTIF(Y$3:Y$21,$B30&amp;" "&amp;$A30)&gt;=Description!Y8,"Passed", "Failed")</f>
        <v>Failed</v>
      </c>
      <c r="Z30" s="7" t="str">
        <f>IF(COUNTIF(Z$3:Z$21,$B30&amp;" "&amp;$A30)&gt;=Description!Z8,"Passed", "Failed")</f>
        <v>Failed</v>
      </c>
      <c r="AA30" s="7" t="str">
        <f>IF(COUNTIF(AA$3:AA$21,$B30&amp;" "&amp;$A30)&gt;=Description!AA8,"Passed", "Failed")</f>
        <v>Failed</v>
      </c>
      <c r="AB30" s="7" t="str">
        <f>IF(COUNTIF(AB$3:AB$21,$B30&amp;" "&amp;$A30)&gt;=Description!AB8,"Passed", "Failed")</f>
        <v>Failed</v>
      </c>
      <c r="AC30" s="7" t="str">
        <f>IF(COUNTIF(AC$3:AC$21,$B30&amp;" "&amp;$A30)&gt;=Description!AC8,"Passed", "Failed")</f>
        <v>Failed</v>
      </c>
      <c r="AD30" s="7" t="str">
        <f>IF(COUNTIF(AD$3:AD$21,$B30&amp;" "&amp;$A30)&gt;=Description!AD8,"Passed", "Failed")</f>
        <v>Failed</v>
      </c>
      <c r="AE30" s="7" t="str">
        <f>IF(COUNTIF(AE$3:AE$21,$B30&amp;" "&amp;$A30)&gt;=Description!AE8,"Passed", "Failed")</f>
        <v>Failed</v>
      </c>
      <c r="AF30" s="7" t="str">
        <f>IF(COUNTIF(AF$3:AF$21,$B30&amp;" "&amp;$A30)&gt;=Description!AF8,"Passed", "Failed")</f>
        <v>Failed</v>
      </c>
      <c r="AG30" s="7" t="str">
        <f>IF(COUNTIF(AG$3:AG$21,$B30&amp;" "&amp;$A30)&gt;=Description!AG8,"Passed", "Failed")</f>
        <v>Failed</v>
      </c>
    </row>
    <row r="31" spans="1:33" x14ac:dyDescent="0.25">
      <c r="A31" s="12" t="s">
        <v>39</v>
      </c>
      <c r="B31" s="6" t="s">
        <v>35</v>
      </c>
      <c r="C31" s="7" t="str">
        <f>IF(COUNTIF(C$3:C$21,$B31&amp;" "&amp;$A31)&gt;=Description!C9,"Passed", "Failed")</f>
        <v>Failed</v>
      </c>
      <c r="D31" s="7" t="str">
        <f>IF(COUNTIF(D$3:D$21,$B31&amp;" "&amp;$A31)&gt;=Description!D9,"Passed", "Failed")</f>
        <v>Failed</v>
      </c>
      <c r="E31" s="7" t="str">
        <f>IF(COUNTIF(E$3:E$21,$B31&amp;" "&amp;$A31)&gt;=Description!E9,"Passed", "Failed")</f>
        <v>Failed</v>
      </c>
      <c r="F31" s="7" t="str">
        <f>IF(COUNTIF(F$3:F$21,$B31&amp;" "&amp;$A31)&gt;=Description!F9,"Passed", "Failed")</f>
        <v>Failed</v>
      </c>
      <c r="G31" s="7" t="str">
        <f>IF(COUNTIF(G$3:G$21,$B31&amp;" "&amp;$A31)&gt;=Description!G9,"Passed", "Failed")</f>
        <v>Failed</v>
      </c>
      <c r="H31" s="7" t="str">
        <f>IF(COUNTIF(H$3:H$21,$B31&amp;" "&amp;$A31)&gt;=Description!H9,"Passed", "Failed")</f>
        <v>Failed</v>
      </c>
      <c r="I31" s="7" t="str">
        <f>IF(COUNTIF(I$3:I$21,$B31&amp;" "&amp;$A31)&gt;=Description!I9,"Passed", "Failed")</f>
        <v>Failed</v>
      </c>
      <c r="J31" s="7" t="str">
        <f>IF(COUNTIF(J$3:J$21,$B31&amp;" "&amp;$A31)&gt;=Description!J9,"Passed", "Failed")</f>
        <v>Failed</v>
      </c>
      <c r="K31" s="7" t="str">
        <f>IF(COUNTIF(K$3:K$21,$B31&amp;" "&amp;$A31)&gt;=Description!K9,"Passed", "Failed")</f>
        <v>Failed</v>
      </c>
      <c r="L31" s="7" t="str">
        <f>IF(COUNTIF(L$3:L$21,$B31&amp;" "&amp;$A31)&gt;=Description!L9,"Passed", "Failed")</f>
        <v>Failed</v>
      </c>
      <c r="M31" s="7" t="str">
        <f>IF(COUNTIF(M$3:M$21,$B31&amp;" "&amp;$A31)&gt;=Description!M9,"Passed", "Failed")</f>
        <v>Failed</v>
      </c>
      <c r="N31" s="7" t="str">
        <f>IF(COUNTIF(N$3:N$21,$B31&amp;" "&amp;$A31)&gt;=Description!N9,"Passed", "Failed")</f>
        <v>Failed</v>
      </c>
      <c r="O31" s="7" t="str">
        <f>IF(COUNTIF(O$3:O$21,$B31&amp;" "&amp;$A31)&gt;=Description!O9,"Passed", "Failed")</f>
        <v>Failed</v>
      </c>
      <c r="P31" s="7" t="str">
        <f>IF(COUNTIF(P$3:P$21,$B31&amp;" "&amp;$A31)&gt;=Description!P9,"Passed", "Failed")</f>
        <v>Failed</v>
      </c>
      <c r="Q31" s="7" t="str">
        <f>IF(COUNTIF(Q$3:Q$21,$B31&amp;" "&amp;$A31)&gt;=Description!Q9,"Passed", "Failed")</f>
        <v>Failed</v>
      </c>
      <c r="R31" s="7" t="str">
        <f>IF(COUNTIF(R$3:R$21,$B31&amp;" "&amp;$A31)&gt;=Description!R9,"Passed", "Failed")</f>
        <v>Failed</v>
      </c>
      <c r="S31" s="7" t="str">
        <f>IF(COUNTIF(S$3:S$21,$B31&amp;" "&amp;$A31)&gt;=Description!S9,"Passed", "Failed")</f>
        <v>Failed</v>
      </c>
      <c r="T31" s="7" t="str">
        <f>IF(COUNTIF(T$3:T$21,$B31&amp;" "&amp;$A31)&gt;=Description!T9,"Passed", "Failed")</f>
        <v>Failed</v>
      </c>
      <c r="U31" s="7" t="str">
        <f>IF(COUNTIF(U$3:U$21,$B31&amp;" "&amp;$A31)&gt;=Description!U9,"Passed", "Failed")</f>
        <v>Failed</v>
      </c>
      <c r="V31" s="7" t="str">
        <f>IF(COUNTIF(V$3:V$21,$B31&amp;" "&amp;$A31)&gt;=Description!V9,"Passed", "Failed")</f>
        <v>Failed</v>
      </c>
      <c r="W31" s="7" t="str">
        <f>IF(COUNTIF(W$3:W$21,$B31&amp;" "&amp;$A31)&gt;=Description!W9,"Passed", "Failed")</f>
        <v>Failed</v>
      </c>
      <c r="X31" s="7" t="str">
        <f>IF(COUNTIF(X$3:X$21,$B31&amp;" "&amp;$A31)&gt;=Description!X9,"Passed", "Failed")</f>
        <v>Failed</v>
      </c>
      <c r="Y31" s="7" t="str">
        <f>IF(COUNTIF(Y$3:Y$21,$B31&amp;" "&amp;$A31)&gt;=Description!Y9,"Passed", "Failed")</f>
        <v>Failed</v>
      </c>
      <c r="Z31" s="7" t="str">
        <f>IF(COUNTIF(Z$3:Z$21,$B31&amp;" "&amp;$A31)&gt;=Description!Z9,"Passed", "Failed")</f>
        <v>Failed</v>
      </c>
      <c r="AA31" s="7" t="str">
        <f>IF(COUNTIF(AA$3:AA$21,$B31&amp;" "&amp;$A31)&gt;=Description!AA9,"Passed", "Failed")</f>
        <v>Failed</v>
      </c>
      <c r="AB31" s="7" t="str">
        <f>IF(COUNTIF(AB$3:AB$21,$B31&amp;" "&amp;$A31)&gt;=Description!AB9,"Passed", "Failed")</f>
        <v>Failed</v>
      </c>
      <c r="AC31" s="7" t="str">
        <f>IF(COUNTIF(AC$3:AC$21,$B31&amp;" "&amp;$A31)&gt;=Description!AC9,"Passed", "Failed")</f>
        <v>Failed</v>
      </c>
      <c r="AD31" s="7" t="str">
        <f>IF(COUNTIF(AD$3:AD$21,$B31&amp;" "&amp;$A31)&gt;=Description!AD9,"Passed", "Failed")</f>
        <v>Failed</v>
      </c>
      <c r="AE31" s="7" t="str">
        <f>IF(COUNTIF(AE$3:AE$21,$B31&amp;" "&amp;$A31)&gt;=Description!AE9,"Passed", "Failed")</f>
        <v>Failed</v>
      </c>
      <c r="AF31" s="7" t="str">
        <f>IF(COUNTIF(AF$3:AF$21,$B31&amp;" "&amp;$A31)&gt;=Description!AF9,"Passed", "Failed")</f>
        <v>Failed</v>
      </c>
      <c r="AG31" s="7" t="str">
        <f>IF(COUNTIF(AG$3:AG$21,$B31&amp;" "&amp;$A31)&gt;=Description!AG9,"Passed", "Failed")</f>
        <v>Failed</v>
      </c>
    </row>
    <row r="32" spans="1:33" x14ac:dyDescent="0.25">
      <c r="A32" s="14" t="s">
        <v>39</v>
      </c>
      <c r="B32" s="6" t="s">
        <v>36</v>
      </c>
      <c r="C32" s="7" t="str">
        <f>IF(COUNTIF(C$3:C$21,$B32&amp;" "&amp;$A32)&gt;=Description!C10,"Passed", "Failed")</f>
        <v>Failed</v>
      </c>
      <c r="D32" s="7" t="str">
        <f>IF(COUNTIF(D$3:D$21,$B32&amp;" "&amp;$A32)&gt;=Description!D10,"Passed", "Failed")</f>
        <v>Failed</v>
      </c>
      <c r="E32" s="7" t="str">
        <f>IF(COUNTIF(E$3:E$21,$B32&amp;" "&amp;$A32)&gt;=Description!E10,"Passed", "Failed")</f>
        <v>Failed</v>
      </c>
      <c r="F32" s="7" t="str">
        <f>IF(COUNTIF(F$3:F$21,$B32&amp;" "&amp;$A32)&gt;=Description!F10,"Passed", "Failed")</f>
        <v>Failed</v>
      </c>
      <c r="G32" s="7" t="str">
        <f>IF(COUNTIF(G$3:G$21,$B32&amp;" "&amp;$A32)&gt;=Description!G10,"Passed", "Failed")</f>
        <v>Failed</v>
      </c>
      <c r="H32" s="7" t="str">
        <f>IF(COUNTIF(H$3:H$21,$B32&amp;" "&amp;$A32)&gt;=Description!H10,"Passed", "Failed")</f>
        <v>Failed</v>
      </c>
      <c r="I32" s="7" t="str">
        <f>IF(COUNTIF(I$3:I$21,$B32&amp;" "&amp;$A32)&gt;=Description!I10,"Passed", "Failed")</f>
        <v>Failed</v>
      </c>
      <c r="J32" s="7" t="str">
        <f>IF(COUNTIF(J$3:J$21,$B32&amp;" "&amp;$A32)&gt;=Description!J10,"Passed", "Failed")</f>
        <v>Failed</v>
      </c>
      <c r="K32" s="7" t="str">
        <f>IF(COUNTIF(K$3:K$21,$B32&amp;" "&amp;$A32)&gt;=Description!K10,"Passed", "Failed")</f>
        <v>Failed</v>
      </c>
      <c r="L32" s="7" t="str">
        <f>IF(COUNTIF(L$3:L$21,$B32&amp;" "&amp;$A32)&gt;=Description!L10,"Passed", "Failed")</f>
        <v>Failed</v>
      </c>
      <c r="M32" s="7" t="str">
        <f>IF(COUNTIF(M$3:M$21,$B32&amp;" "&amp;$A32)&gt;=Description!M10,"Passed", "Failed")</f>
        <v>Failed</v>
      </c>
      <c r="N32" s="7" t="str">
        <f>IF(COUNTIF(N$3:N$21,$B32&amp;" "&amp;$A32)&gt;=Description!N10,"Passed", "Failed")</f>
        <v>Failed</v>
      </c>
      <c r="O32" s="7" t="str">
        <f>IF(COUNTIF(O$3:O$21,$B32&amp;" "&amp;$A32)&gt;=Description!O10,"Passed", "Failed")</f>
        <v>Failed</v>
      </c>
      <c r="P32" s="7" t="str">
        <f>IF(COUNTIF(P$3:P$21,$B32&amp;" "&amp;$A32)&gt;=Description!P10,"Passed", "Failed")</f>
        <v>Failed</v>
      </c>
      <c r="Q32" s="7" t="str">
        <f>IF(COUNTIF(Q$3:Q$21,$B32&amp;" "&amp;$A32)&gt;=Description!Q10,"Passed", "Failed")</f>
        <v>Failed</v>
      </c>
      <c r="R32" s="7" t="str">
        <f>IF(COUNTIF(R$3:R$21,$B32&amp;" "&amp;$A32)&gt;=Description!R10,"Passed", "Failed")</f>
        <v>Failed</v>
      </c>
      <c r="S32" s="7" t="str">
        <f>IF(COUNTIF(S$3:S$21,$B32&amp;" "&amp;$A32)&gt;=Description!S10,"Passed", "Failed")</f>
        <v>Failed</v>
      </c>
      <c r="T32" s="7" t="str">
        <f>IF(COUNTIF(T$3:T$21,$B32&amp;" "&amp;$A32)&gt;=Description!T10,"Passed", "Failed")</f>
        <v>Failed</v>
      </c>
      <c r="U32" s="7" t="str">
        <f>IF(COUNTIF(U$3:U$21,$B32&amp;" "&amp;$A32)&gt;=Description!U10,"Passed", "Failed")</f>
        <v>Failed</v>
      </c>
      <c r="V32" s="7" t="str">
        <f>IF(COUNTIF(V$3:V$21,$B32&amp;" "&amp;$A32)&gt;=Description!V10,"Passed", "Failed")</f>
        <v>Failed</v>
      </c>
      <c r="W32" s="7" t="str">
        <f>IF(COUNTIF(W$3:W$21,$B32&amp;" "&amp;$A32)&gt;=Description!W10,"Passed", "Failed")</f>
        <v>Failed</v>
      </c>
      <c r="X32" s="7" t="str">
        <f>IF(COUNTIF(X$3:X$21,$B32&amp;" "&amp;$A32)&gt;=Description!X10,"Passed", "Failed")</f>
        <v>Failed</v>
      </c>
      <c r="Y32" s="7" t="str">
        <f>IF(COUNTIF(Y$3:Y$21,$B32&amp;" "&amp;$A32)&gt;=Description!Y10,"Passed", "Failed")</f>
        <v>Failed</v>
      </c>
      <c r="Z32" s="7" t="str">
        <f>IF(COUNTIF(Z$3:Z$21,$B32&amp;" "&amp;$A32)&gt;=Description!Z10,"Passed", "Failed")</f>
        <v>Failed</v>
      </c>
      <c r="AA32" s="7" t="str">
        <f>IF(COUNTIF(AA$3:AA$21,$B32&amp;" "&amp;$A32)&gt;=Description!AA10,"Passed", "Failed")</f>
        <v>Failed</v>
      </c>
      <c r="AB32" s="7" t="str">
        <f>IF(COUNTIF(AB$3:AB$21,$B32&amp;" "&amp;$A32)&gt;=Description!AB10,"Passed", "Failed")</f>
        <v>Failed</v>
      </c>
      <c r="AC32" s="7" t="str">
        <f>IF(COUNTIF(AC$3:AC$21,$B32&amp;" "&amp;$A32)&gt;=Description!AC10,"Passed", "Failed")</f>
        <v>Failed</v>
      </c>
      <c r="AD32" s="7" t="str">
        <f>IF(COUNTIF(AD$3:AD$21,$B32&amp;" "&amp;$A32)&gt;=Description!AD10,"Passed", "Failed")</f>
        <v>Failed</v>
      </c>
      <c r="AE32" s="7" t="str">
        <f>IF(COUNTIF(AE$3:AE$21,$B32&amp;" "&amp;$A32)&gt;=Description!AE10,"Passed", "Failed")</f>
        <v>Failed</v>
      </c>
      <c r="AF32" s="7" t="str">
        <f>IF(COUNTIF(AF$3:AF$21,$B32&amp;" "&amp;$A32)&gt;=Description!AF10,"Passed", "Failed")</f>
        <v>Failed</v>
      </c>
      <c r="AG32" s="7" t="str">
        <f>IF(COUNTIF(AG$3:AG$21,$B32&amp;" "&amp;$A32)&gt;=Description!AG10,"Passed", "Failed")</f>
        <v>Failed</v>
      </c>
    </row>
    <row r="33" spans="1:33" x14ac:dyDescent="0.25">
      <c r="A33" s="14" t="s">
        <v>39</v>
      </c>
      <c r="B33" s="10" t="s">
        <v>37</v>
      </c>
      <c r="C33" s="7" t="str">
        <f>IF(COUNTIF(C$3:C$21,$B33&amp;" "&amp;$A33)&gt;=Description!C11,"Passed", "Failed")</f>
        <v>Failed</v>
      </c>
      <c r="D33" s="7" t="str">
        <f>IF(COUNTIF(D$3:D$21,$B33&amp;" "&amp;$A33)&gt;=Description!D11,"Passed", "Failed")</f>
        <v>Failed</v>
      </c>
      <c r="E33" s="7" t="str">
        <f>IF(COUNTIF(E$3:E$21,$B33&amp;" "&amp;$A33)&gt;=Description!E11,"Passed", "Failed")</f>
        <v>Failed</v>
      </c>
      <c r="F33" s="7" t="str">
        <f>IF(COUNTIF(F$3:F$21,$B33&amp;" "&amp;$A33)&gt;=Description!F11,"Passed", "Failed")</f>
        <v>Failed</v>
      </c>
      <c r="G33" s="7" t="str">
        <f>IF(COUNTIF(G$3:G$21,$B33&amp;" "&amp;$A33)&gt;=Description!G11,"Passed", "Failed")</f>
        <v>Failed</v>
      </c>
      <c r="H33" s="7" t="str">
        <f>IF(COUNTIF(H$3:H$21,$B33&amp;" "&amp;$A33)&gt;=Description!H11,"Passed", "Failed")</f>
        <v>Failed</v>
      </c>
      <c r="I33" s="7" t="str">
        <f>IF(COUNTIF(I$3:I$21,$B33&amp;" "&amp;$A33)&gt;=Description!I11,"Passed", "Failed")</f>
        <v>Failed</v>
      </c>
      <c r="J33" s="7" t="str">
        <f>IF(COUNTIF(J$3:J$21,$B33&amp;" "&amp;$A33)&gt;=Description!J11,"Passed", "Failed")</f>
        <v>Failed</v>
      </c>
      <c r="K33" s="7" t="str">
        <f>IF(COUNTIF(K$3:K$21,$B33&amp;" "&amp;$A33)&gt;=Description!K11,"Passed", "Failed")</f>
        <v>Failed</v>
      </c>
      <c r="L33" s="7" t="str">
        <f>IF(COUNTIF(L$3:L$21,$B33&amp;" "&amp;$A33)&gt;=Description!L11,"Passed", "Failed")</f>
        <v>Failed</v>
      </c>
      <c r="M33" s="7" t="str">
        <f>IF(COUNTIF(M$3:M$21,$B33&amp;" "&amp;$A33)&gt;=Description!M11,"Passed", "Failed")</f>
        <v>Failed</v>
      </c>
      <c r="N33" s="7" t="str">
        <f>IF(COUNTIF(N$3:N$21,$B33&amp;" "&amp;$A33)&gt;=Description!N11,"Passed", "Failed")</f>
        <v>Failed</v>
      </c>
      <c r="O33" s="7" t="str">
        <f>IF(COUNTIF(O$3:O$21,$B33&amp;" "&amp;$A33)&gt;=Description!O11,"Passed", "Failed")</f>
        <v>Failed</v>
      </c>
      <c r="P33" s="7" t="str">
        <f>IF(COUNTIF(P$3:P$21,$B33&amp;" "&amp;$A33)&gt;=Description!P11,"Passed", "Failed")</f>
        <v>Failed</v>
      </c>
      <c r="Q33" s="7" t="str">
        <f>IF(COUNTIF(Q$3:Q$21,$B33&amp;" "&amp;$A33)&gt;=Description!Q11,"Passed", "Failed")</f>
        <v>Failed</v>
      </c>
      <c r="R33" s="7" t="str">
        <f>IF(COUNTIF(R$3:R$21,$B33&amp;" "&amp;$A33)&gt;=Description!R11,"Passed", "Failed")</f>
        <v>Failed</v>
      </c>
      <c r="S33" s="7" t="str">
        <f>IF(COUNTIF(S$3:S$21,$B33&amp;" "&amp;$A33)&gt;=Description!S11,"Passed", "Failed")</f>
        <v>Failed</v>
      </c>
      <c r="T33" s="7" t="str">
        <f>IF(COUNTIF(T$3:T$21,$B33&amp;" "&amp;$A33)&gt;=Description!T11,"Passed", "Failed")</f>
        <v>Failed</v>
      </c>
      <c r="U33" s="7" t="str">
        <f>IF(COUNTIF(U$3:U$21,$B33&amp;" "&amp;$A33)&gt;=Description!U11,"Passed", "Failed")</f>
        <v>Failed</v>
      </c>
      <c r="V33" s="7" t="str">
        <f>IF(COUNTIF(V$3:V$21,$B33&amp;" "&amp;$A33)&gt;=Description!V11,"Passed", "Failed")</f>
        <v>Failed</v>
      </c>
      <c r="W33" s="7" t="str">
        <f>IF(COUNTIF(W$3:W$21,$B33&amp;" "&amp;$A33)&gt;=Description!W11,"Passed", "Failed")</f>
        <v>Failed</v>
      </c>
      <c r="X33" s="7" t="str">
        <f>IF(COUNTIF(X$3:X$21,$B33&amp;" "&amp;$A33)&gt;=Description!X11,"Passed", "Failed")</f>
        <v>Failed</v>
      </c>
      <c r="Y33" s="7" t="str">
        <f>IF(COUNTIF(Y$3:Y$21,$B33&amp;" "&amp;$A33)&gt;=Description!Y11,"Passed", "Failed")</f>
        <v>Failed</v>
      </c>
      <c r="Z33" s="7" t="str">
        <f>IF(COUNTIF(Z$3:Z$21,$B33&amp;" "&amp;$A33)&gt;=Description!Z11,"Passed", "Failed")</f>
        <v>Failed</v>
      </c>
      <c r="AA33" s="7" t="str">
        <f>IF(COUNTIF(AA$3:AA$21,$B33&amp;" "&amp;$A33)&gt;=Description!AA11,"Passed", "Failed")</f>
        <v>Failed</v>
      </c>
      <c r="AB33" s="7" t="str">
        <f>IF(COUNTIF(AB$3:AB$21,$B33&amp;" "&amp;$A33)&gt;=Description!AB11,"Passed", "Failed")</f>
        <v>Failed</v>
      </c>
      <c r="AC33" s="7" t="str">
        <f>IF(COUNTIF(AC$3:AC$21,$B33&amp;" "&amp;$A33)&gt;=Description!AC11,"Passed", "Failed")</f>
        <v>Failed</v>
      </c>
      <c r="AD33" s="7" t="str">
        <f>IF(COUNTIF(AD$3:AD$21,$B33&amp;" "&amp;$A33)&gt;=Description!AD11,"Passed", "Failed")</f>
        <v>Failed</v>
      </c>
      <c r="AE33" s="7" t="str">
        <f>IF(COUNTIF(AE$3:AE$21,$B33&amp;" "&amp;$A33)&gt;=Description!AE11,"Passed", "Failed")</f>
        <v>Failed</v>
      </c>
      <c r="AF33" s="7" t="str">
        <f>IF(COUNTIF(AF$3:AF$21,$B33&amp;" "&amp;$A33)&gt;=Description!AF11,"Passed", "Failed")</f>
        <v>Failed</v>
      </c>
      <c r="AG33" s="7" t="str">
        <f>IF(COUNTIF(AG$3:AG$21,$B33&amp;" "&amp;$A33)&gt;=Description!AG11,"Passed", "Failed")</f>
        <v>Failed</v>
      </c>
    </row>
    <row r="34" spans="1:33" x14ac:dyDescent="0.25">
      <c r="A34" s="12" t="s">
        <v>40</v>
      </c>
      <c r="B34" s="6" t="s">
        <v>35</v>
      </c>
      <c r="C34" s="7" t="str">
        <f>IF(COUNTIF(C$3:C$21,$B34&amp;" "&amp;$A34)&gt;=Description!C12,"Passed", "Failed")</f>
        <v>Failed</v>
      </c>
      <c r="D34" s="7" t="str">
        <f>IF(COUNTIF(D$3:D$21,$B34&amp;" "&amp;$A34)&gt;=Description!D12,"Passed", "Failed")</f>
        <v>Failed</v>
      </c>
      <c r="E34" s="7" t="str">
        <f>IF(COUNTIF(E$3:E$21,$B34&amp;" "&amp;$A34)&gt;=Description!E12,"Passed", "Failed")</f>
        <v>Failed</v>
      </c>
      <c r="F34" s="7" t="str">
        <f>IF(COUNTIF(F$3:F$21,$B34&amp;" "&amp;$A34)&gt;=Description!F12,"Passed", "Failed")</f>
        <v>Failed</v>
      </c>
      <c r="G34" s="7" t="str">
        <f>IF(COUNTIF(G$3:G$21,$B34&amp;" "&amp;$A34)&gt;=Description!G12,"Passed", "Failed")</f>
        <v>Failed</v>
      </c>
      <c r="H34" s="7" t="str">
        <f>IF(COUNTIF(H$3:H$21,$B34&amp;" "&amp;$A34)&gt;=Description!H12,"Passed", "Failed")</f>
        <v>Failed</v>
      </c>
      <c r="I34" s="7" t="str">
        <f>IF(COUNTIF(I$3:I$21,$B34&amp;" "&amp;$A34)&gt;=Description!I12,"Passed", "Failed")</f>
        <v>Failed</v>
      </c>
      <c r="J34" s="7" t="str">
        <f>IF(COUNTIF(J$3:J$21,$B34&amp;" "&amp;$A34)&gt;=Description!J12,"Passed", "Failed")</f>
        <v>Failed</v>
      </c>
      <c r="K34" s="7" t="str">
        <f>IF(COUNTIF(K$3:K$21,$B34&amp;" "&amp;$A34)&gt;=Description!K12,"Passed", "Failed")</f>
        <v>Failed</v>
      </c>
      <c r="L34" s="7" t="str">
        <f>IF(COUNTIF(L$3:L$21,$B34&amp;" "&amp;$A34)&gt;=Description!L12,"Passed", "Failed")</f>
        <v>Failed</v>
      </c>
      <c r="M34" s="7" t="str">
        <f>IF(COUNTIF(M$3:M$21,$B34&amp;" "&amp;$A34)&gt;=Description!M12,"Passed", "Failed")</f>
        <v>Failed</v>
      </c>
      <c r="N34" s="7" t="str">
        <f>IF(COUNTIF(N$3:N$21,$B34&amp;" "&amp;$A34)&gt;=Description!N12,"Passed", "Failed")</f>
        <v>Failed</v>
      </c>
      <c r="O34" s="7" t="str">
        <f>IF(COUNTIF(O$3:O$21,$B34&amp;" "&amp;$A34)&gt;=Description!O12,"Passed", "Failed")</f>
        <v>Failed</v>
      </c>
      <c r="P34" s="7" t="str">
        <f>IF(COUNTIF(P$3:P$21,$B34&amp;" "&amp;$A34)&gt;=Description!P12,"Passed", "Failed")</f>
        <v>Failed</v>
      </c>
      <c r="Q34" s="7" t="str">
        <f>IF(COUNTIF(Q$3:Q$21,$B34&amp;" "&amp;$A34)&gt;=Description!Q12,"Passed", "Failed")</f>
        <v>Failed</v>
      </c>
      <c r="R34" s="7" t="str">
        <f>IF(COUNTIF(R$3:R$21,$B34&amp;" "&amp;$A34)&gt;=Description!R12,"Passed", "Failed")</f>
        <v>Failed</v>
      </c>
      <c r="S34" s="7" t="str">
        <f>IF(COUNTIF(S$3:S$21,$B34&amp;" "&amp;$A34)&gt;=Description!S12,"Passed", "Failed")</f>
        <v>Failed</v>
      </c>
      <c r="T34" s="7" t="str">
        <f>IF(COUNTIF(T$3:T$21,$B34&amp;" "&amp;$A34)&gt;=Description!T12,"Passed", "Failed")</f>
        <v>Failed</v>
      </c>
      <c r="U34" s="7" t="str">
        <f>IF(COUNTIF(U$3:U$21,$B34&amp;" "&amp;$A34)&gt;=Description!U12,"Passed", "Failed")</f>
        <v>Failed</v>
      </c>
      <c r="V34" s="7" t="str">
        <f>IF(COUNTIF(V$3:V$21,$B34&amp;" "&amp;$A34)&gt;=Description!V12,"Passed", "Failed")</f>
        <v>Failed</v>
      </c>
      <c r="W34" s="7" t="str">
        <f>IF(COUNTIF(W$3:W$21,$B34&amp;" "&amp;$A34)&gt;=Description!W12,"Passed", "Failed")</f>
        <v>Failed</v>
      </c>
      <c r="X34" s="7" t="str">
        <f>IF(COUNTIF(X$3:X$21,$B34&amp;" "&amp;$A34)&gt;=Description!X12,"Passed", "Failed")</f>
        <v>Failed</v>
      </c>
      <c r="Y34" s="7" t="str">
        <f>IF(COUNTIF(Y$3:Y$21,$B34&amp;" "&amp;$A34)&gt;=Description!Y12,"Passed", "Failed")</f>
        <v>Failed</v>
      </c>
      <c r="Z34" s="7" t="str">
        <f>IF(COUNTIF(Z$3:Z$21,$B34&amp;" "&amp;$A34)&gt;=Description!Z12,"Passed", "Failed")</f>
        <v>Failed</v>
      </c>
      <c r="AA34" s="7" t="str">
        <f>IF(COUNTIF(AA$3:AA$21,$B34&amp;" "&amp;$A34)&gt;=Description!AA12,"Passed", "Failed")</f>
        <v>Failed</v>
      </c>
      <c r="AB34" s="7" t="str">
        <f>IF(COUNTIF(AB$3:AB$21,$B34&amp;" "&amp;$A34)&gt;=Description!AB12,"Passed", "Failed")</f>
        <v>Failed</v>
      </c>
      <c r="AC34" s="7" t="str">
        <f>IF(COUNTIF(AC$3:AC$21,$B34&amp;" "&amp;$A34)&gt;=Description!AC12,"Passed", "Failed")</f>
        <v>Failed</v>
      </c>
      <c r="AD34" s="7" t="str">
        <f>IF(COUNTIF(AD$3:AD$21,$B34&amp;" "&amp;$A34)&gt;=Description!AD12,"Passed", "Failed")</f>
        <v>Failed</v>
      </c>
      <c r="AE34" s="7" t="str">
        <f>IF(COUNTIF(AE$3:AE$21,$B34&amp;" "&amp;$A34)&gt;=Description!AE12,"Passed", "Failed")</f>
        <v>Failed</v>
      </c>
      <c r="AF34" s="7" t="str">
        <f>IF(COUNTIF(AF$3:AF$21,$B34&amp;" "&amp;$A34)&gt;=Description!AF12,"Passed", "Failed")</f>
        <v>Failed</v>
      </c>
      <c r="AG34" s="7" t="str">
        <f>IF(COUNTIF(AG$3:AG$21,$B34&amp;" "&amp;$A34)&gt;=Description!AG12,"Passed", "Failed")</f>
        <v>Failed</v>
      </c>
    </row>
    <row r="35" spans="1:33" x14ac:dyDescent="0.25">
      <c r="A35" s="15" t="s">
        <v>40</v>
      </c>
      <c r="B35" s="6" t="s">
        <v>36</v>
      </c>
      <c r="C35" s="7" t="str">
        <f>IF(COUNTIF(C$3:C$21,$B35&amp;" "&amp;$A35)&gt;=Description!C13,"Passed", "Failed")</f>
        <v>Failed</v>
      </c>
      <c r="D35" s="7" t="str">
        <f>IF(COUNTIF(D$3:D$21,$B35&amp;" "&amp;$A35)&gt;=Description!D13,"Passed", "Failed")</f>
        <v>Failed</v>
      </c>
      <c r="E35" s="7" t="str">
        <f>IF(COUNTIF(E$3:E$21,$B35&amp;" "&amp;$A35)&gt;=Description!E13,"Passed", "Failed")</f>
        <v>Failed</v>
      </c>
      <c r="F35" s="7" t="str">
        <f>IF(COUNTIF(F$3:F$21,$B35&amp;" "&amp;$A35)&gt;=Description!F13,"Passed", "Failed")</f>
        <v>Failed</v>
      </c>
      <c r="G35" s="7" t="str">
        <f>IF(COUNTIF(G$3:G$21,$B35&amp;" "&amp;$A35)&gt;=Description!G13,"Passed", "Failed")</f>
        <v>Failed</v>
      </c>
      <c r="H35" s="7" t="str">
        <f>IF(COUNTIF(H$3:H$21,$B35&amp;" "&amp;$A35)&gt;=Description!H13,"Passed", "Failed")</f>
        <v>Failed</v>
      </c>
      <c r="I35" s="7" t="str">
        <f>IF(COUNTIF(I$3:I$21,$B35&amp;" "&amp;$A35)&gt;=Description!I13,"Passed", "Failed")</f>
        <v>Failed</v>
      </c>
      <c r="J35" s="7" t="str">
        <f>IF(COUNTIF(J$3:J$21,$B35&amp;" "&amp;$A35)&gt;=Description!J13,"Passed", "Failed")</f>
        <v>Failed</v>
      </c>
      <c r="K35" s="7" t="str">
        <f>IF(COUNTIF(K$3:K$21,$B35&amp;" "&amp;$A35)&gt;=Description!K13,"Passed", "Failed")</f>
        <v>Failed</v>
      </c>
      <c r="L35" s="7" t="str">
        <f>IF(COUNTIF(L$3:L$21,$B35&amp;" "&amp;$A35)&gt;=Description!L13,"Passed", "Failed")</f>
        <v>Failed</v>
      </c>
      <c r="M35" s="7" t="str">
        <f>IF(COUNTIF(M$3:M$21,$B35&amp;" "&amp;$A35)&gt;=Description!M13,"Passed", "Failed")</f>
        <v>Failed</v>
      </c>
      <c r="N35" s="7" t="str">
        <f>IF(COUNTIF(N$3:N$21,$B35&amp;" "&amp;$A35)&gt;=Description!N13,"Passed", "Failed")</f>
        <v>Failed</v>
      </c>
      <c r="O35" s="7" t="str">
        <f>IF(COUNTIF(O$3:O$21,$B35&amp;" "&amp;$A35)&gt;=Description!O13,"Passed", "Failed")</f>
        <v>Failed</v>
      </c>
      <c r="P35" s="7" t="str">
        <f>IF(COUNTIF(P$3:P$21,$B35&amp;" "&amp;$A35)&gt;=Description!P13,"Passed", "Failed")</f>
        <v>Failed</v>
      </c>
      <c r="Q35" s="7" t="str">
        <f>IF(COUNTIF(Q$3:Q$21,$B35&amp;" "&amp;$A35)&gt;=Description!Q13,"Passed", "Failed")</f>
        <v>Failed</v>
      </c>
      <c r="R35" s="7" t="str">
        <f>IF(COUNTIF(R$3:R$21,$B35&amp;" "&amp;$A35)&gt;=Description!R13,"Passed", "Failed")</f>
        <v>Failed</v>
      </c>
      <c r="S35" s="7" t="str">
        <f>IF(COUNTIF(S$3:S$21,$B35&amp;" "&amp;$A35)&gt;=Description!S13,"Passed", "Failed")</f>
        <v>Failed</v>
      </c>
      <c r="T35" s="7" t="str">
        <f>IF(COUNTIF(T$3:T$21,$B35&amp;" "&amp;$A35)&gt;=Description!T13,"Passed", "Failed")</f>
        <v>Failed</v>
      </c>
      <c r="U35" s="7" t="str">
        <f>IF(COUNTIF(U$3:U$21,$B35&amp;" "&amp;$A35)&gt;=Description!U13,"Passed", "Failed")</f>
        <v>Failed</v>
      </c>
      <c r="V35" s="7" t="str">
        <f>IF(COUNTIF(V$3:V$21,$B35&amp;" "&amp;$A35)&gt;=Description!V13,"Passed", "Failed")</f>
        <v>Failed</v>
      </c>
      <c r="W35" s="7" t="str">
        <f>IF(COUNTIF(W$3:W$21,$B35&amp;" "&amp;$A35)&gt;=Description!W13,"Passed", "Failed")</f>
        <v>Failed</v>
      </c>
      <c r="X35" s="7" t="str">
        <f>IF(COUNTIF(X$3:X$21,$B35&amp;" "&amp;$A35)&gt;=Description!X13,"Passed", "Failed")</f>
        <v>Failed</v>
      </c>
      <c r="Y35" s="7" t="str">
        <f>IF(COUNTIF(Y$3:Y$21,$B35&amp;" "&amp;$A35)&gt;=Description!Y13,"Passed", "Failed")</f>
        <v>Failed</v>
      </c>
      <c r="Z35" s="7" t="str">
        <f>IF(COUNTIF(Z$3:Z$21,$B35&amp;" "&amp;$A35)&gt;=Description!Z13,"Passed", "Failed")</f>
        <v>Failed</v>
      </c>
      <c r="AA35" s="7" t="str">
        <f>IF(COUNTIF(AA$3:AA$21,$B35&amp;" "&amp;$A35)&gt;=Description!AA13,"Passed", "Failed")</f>
        <v>Failed</v>
      </c>
      <c r="AB35" s="7" t="str">
        <f>IF(COUNTIF(AB$3:AB$21,$B35&amp;" "&amp;$A35)&gt;=Description!AB13,"Passed", "Failed")</f>
        <v>Failed</v>
      </c>
      <c r="AC35" s="7" t="str">
        <f>IF(COUNTIF(AC$3:AC$21,$B35&amp;" "&amp;$A35)&gt;=Description!AC13,"Passed", "Failed")</f>
        <v>Failed</v>
      </c>
      <c r="AD35" s="7" t="str">
        <f>IF(COUNTIF(AD$3:AD$21,$B35&amp;" "&amp;$A35)&gt;=Description!AD13,"Passed", "Failed")</f>
        <v>Failed</v>
      </c>
      <c r="AE35" s="7" t="str">
        <f>IF(COUNTIF(AE$3:AE$21,$B35&amp;" "&amp;$A35)&gt;=Description!AE13,"Passed", "Failed")</f>
        <v>Failed</v>
      </c>
      <c r="AF35" s="7" t="str">
        <f>IF(COUNTIF(AF$3:AF$21,$B35&amp;" "&amp;$A35)&gt;=Description!AF13,"Passed", "Failed")</f>
        <v>Failed</v>
      </c>
      <c r="AG35" s="7" t="str">
        <f>IF(COUNTIF(AG$3:AG$21,$B35&amp;" "&amp;$A35)&gt;=Description!AG13,"Passed", "Failed")</f>
        <v>Failed</v>
      </c>
    </row>
    <row r="36" spans="1:33" x14ac:dyDescent="0.25">
      <c r="A36" s="16" t="s">
        <v>40</v>
      </c>
      <c r="B36" s="10" t="s">
        <v>37</v>
      </c>
      <c r="C36" s="7" t="str">
        <f>IF(COUNTIF(C$3:C$21,$B36&amp;" "&amp;$A36)&gt;=Description!C14,"Passed", "Failed")</f>
        <v>Failed</v>
      </c>
      <c r="D36" s="7" t="str">
        <f>IF(COUNTIF(D$3:D$21,$B36&amp;" "&amp;$A36)&gt;=Description!D14,"Passed", "Failed")</f>
        <v>Failed</v>
      </c>
      <c r="E36" s="7" t="str">
        <f>IF(COUNTIF(E$3:E$21,$B36&amp;" "&amp;$A36)&gt;=Description!E14,"Passed", "Failed")</f>
        <v>Failed</v>
      </c>
      <c r="F36" s="7" t="str">
        <f>IF(COUNTIF(F$3:F$21,$B36&amp;" "&amp;$A36)&gt;=Description!F14,"Passed", "Failed")</f>
        <v>Failed</v>
      </c>
      <c r="G36" s="7" t="str">
        <f>IF(COUNTIF(G$3:G$21,$B36&amp;" "&amp;$A36)&gt;=Description!G14,"Passed", "Failed")</f>
        <v>Failed</v>
      </c>
      <c r="H36" s="7" t="str">
        <f>IF(COUNTIF(H$3:H$21,$B36&amp;" "&amp;$A36)&gt;=Description!H14,"Passed", "Failed")</f>
        <v>Failed</v>
      </c>
      <c r="I36" s="7" t="str">
        <f>IF(COUNTIF(I$3:I$21,$B36&amp;" "&amp;$A36)&gt;=Description!I14,"Passed", "Failed")</f>
        <v>Failed</v>
      </c>
      <c r="J36" s="7" t="str">
        <f>IF(COUNTIF(J$3:J$21,$B36&amp;" "&amp;$A36)&gt;=Description!J14,"Passed", "Failed")</f>
        <v>Failed</v>
      </c>
      <c r="K36" s="7" t="str">
        <f>IF(COUNTIF(K$3:K$21,$B36&amp;" "&amp;$A36)&gt;=Description!K14,"Passed", "Failed")</f>
        <v>Failed</v>
      </c>
      <c r="L36" s="7" t="str">
        <f>IF(COUNTIF(L$3:L$21,$B36&amp;" "&amp;$A36)&gt;=Description!L14,"Passed", "Failed")</f>
        <v>Failed</v>
      </c>
      <c r="M36" s="7" t="str">
        <f>IF(COUNTIF(M$3:M$21,$B36&amp;" "&amp;$A36)&gt;=Description!M14,"Passed", "Failed")</f>
        <v>Failed</v>
      </c>
      <c r="N36" s="7" t="str">
        <f>IF(COUNTIF(N$3:N$21,$B36&amp;" "&amp;$A36)&gt;=Description!N14,"Passed", "Failed")</f>
        <v>Failed</v>
      </c>
      <c r="O36" s="7" t="str">
        <f>IF(COUNTIF(O$3:O$21,$B36&amp;" "&amp;$A36)&gt;=Description!O14,"Passed", "Failed")</f>
        <v>Failed</v>
      </c>
      <c r="P36" s="7" t="str">
        <f>IF(COUNTIF(P$3:P$21,$B36&amp;" "&amp;$A36)&gt;=Description!P14,"Passed", "Failed")</f>
        <v>Failed</v>
      </c>
      <c r="Q36" s="7" t="str">
        <f>IF(COUNTIF(Q$3:Q$21,$B36&amp;" "&amp;$A36)&gt;=Description!Q14,"Passed", "Failed")</f>
        <v>Failed</v>
      </c>
      <c r="R36" s="7" t="str">
        <f>IF(COUNTIF(R$3:R$21,$B36&amp;" "&amp;$A36)&gt;=Description!R14,"Passed", "Failed")</f>
        <v>Failed</v>
      </c>
      <c r="S36" s="7" t="str">
        <f>IF(COUNTIF(S$3:S$21,$B36&amp;" "&amp;$A36)&gt;=Description!S14,"Passed", "Failed")</f>
        <v>Failed</v>
      </c>
      <c r="T36" s="7" t="str">
        <f>IF(COUNTIF(T$3:T$21,$B36&amp;" "&amp;$A36)&gt;=Description!T14,"Passed", "Failed")</f>
        <v>Failed</v>
      </c>
      <c r="U36" s="7" t="str">
        <f>IF(COUNTIF(U$3:U$21,$B36&amp;" "&amp;$A36)&gt;=Description!U14,"Passed", "Failed")</f>
        <v>Failed</v>
      </c>
      <c r="V36" s="7" t="str">
        <f>IF(COUNTIF(V$3:V$21,$B36&amp;" "&amp;$A36)&gt;=Description!V14,"Passed", "Failed")</f>
        <v>Failed</v>
      </c>
      <c r="W36" s="7" t="str">
        <f>IF(COUNTIF(W$3:W$21,$B36&amp;" "&amp;$A36)&gt;=Description!W14,"Passed", "Failed")</f>
        <v>Failed</v>
      </c>
      <c r="X36" s="7" t="str">
        <f>IF(COUNTIF(X$3:X$21,$B36&amp;" "&amp;$A36)&gt;=Description!X14,"Passed", "Failed")</f>
        <v>Failed</v>
      </c>
      <c r="Y36" s="7" t="str">
        <f>IF(COUNTIF(Y$3:Y$21,$B36&amp;" "&amp;$A36)&gt;=Description!Y14,"Passed", "Failed")</f>
        <v>Failed</v>
      </c>
      <c r="Z36" s="7" t="str">
        <f>IF(COUNTIF(Z$3:Z$21,$B36&amp;" "&amp;$A36)&gt;=Description!Z14,"Passed", "Failed")</f>
        <v>Failed</v>
      </c>
      <c r="AA36" s="7" t="str">
        <f>IF(COUNTIF(AA$3:AA$21,$B36&amp;" "&amp;$A36)&gt;=Description!AA14,"Passed", "Failed")</f>
        <v>Failed</v>
      </c>
      <c r="AB36" s="7" t="str">
        <f>IF(COUNTIF(AB$3:AB$21,$B36&amp;" "&amp;$A36)&gt;=Description!AB14,"Passed", "Failed")</f>
        <v>Failed</v>
      </c>
      <c r="AC36" s="7" t="str">
        <f>IF(COUNTIF(AC$3:AC$21,$B36&amp;" "&amp;$A36)&gt;=Description!AC14,"Passed", "Failed")</f>
        <v>Failed</v>
      </c>
      <c r="AD36" s="7" t="str">
        <f>IF(COUNTIF(AD$3:AD$21,$B36&amp;" "&amp;$A36)&gt;=Description!AD14,"Passed", "Failed")</f>
        <v>Failed</v>
      </c>
      <c r="AE36" s="7" t="str">
        <f>IF(COUNTIF(AE$3:AE$21,$B36&amp;" "&amp;$A36)&gt;=Description!AE14,"Passed", "Failed")</f>
        <v>Failed</v>
      </c>
      <c r="AF36" s="7" t="str">
        <f>IF(COUNTIF(AF$3:AF$21,$B36&amp;" "&amp;$A36)&gt;=Description!AF14,"Passed", "Failed")</f>
        <v>Failed</v>
      </c>
      <c r="AG36" s="7" t="str">
        <f>IF(COUNTIF(AG$3:AG$21,$B36&amp;" "&amp;$A36)&gt;=Description!AG14,"Passed", "Failed")</f>
        <v>Failed</v>
      </c>
    </row>
    <row r="38" spans="1:33" x14ac:dyDescent="0.25">
      <c r="A38" s="1" t="s">
        <v>69</v>
      </c>
    </row>
    <row r="39" spans="1:33" x14ac:dyDescent="0.25">
      <c r="A39" s="25" t="s">
        <v>48</v>
      </c>
      <c r="B39" s="26" t="str" cm="1">
        <f t="array" ref="B39">IFERROR(IF(ROUNDUP(SUMPRODUCT(1/COUNTIF(C39:AG39,C39:AG39)),0)&lt;=2, "Passed", "Failed"),"Failed")</f>
        <v>Passed</v>
      </c>
      <c r="C39" s="7" t="str">
        <f>IF(LEN(C3)=1,"",RIGHT(C3,LEN(C3)-2))</f>
        <v/>
      </c>
      <c r="D39" s="7" t="str">
        <f t="shared" ref="D39:AG47" si="0">IF(LEN(D3)=1,"",RIGHT(D3,LEN(D3)-2))</f>
        <v/>
      </c>
      <c r="E39" s="7" t="str">
        <f t="shared" si="0"/>
        <v/>
      </c>
      <c r="F39" s="7" t="str">
        <f t="shared" si="0"/>
        <v/>
      </c>
      <c r="G39" s="7" t="str">
        <f t="shared" si="0"/>
        <v/>
      </c>
      <c r="H39" s="7" t="str">
        <f t="shared" si="0"/>
        <v/>
      </c>
      <c r="I39" s="7" t="str">
        <f t="shared" si="0"/>
        <v/>
      </c>
      <c r="J39" s="7" t="str">
        <f t="shared" si="0"/>
        <v/>
      </c>
      <c r="K39" s="7" t="str">
        <f t="shared" si="0"/>
        <v/>
      </c>
      <c r="L39" s="7" t="str">
        <f t="shared" si="0"/>
        <v/>
      </c>
      <c r="M39" s="7" t="str">
        <f t="shared" si="0"/>
        <v/>
      </c>
      <c r="N39" s="7" t="str">
        <f t="shared" si="0"/>
        <v/>
      </c>
      <c r="O39" s="7" t="str">
        <f t="shared" si="0"/>
        <v/>
      </c>
      <c r="P39" s="7" t="str">
        <f t="shared" si="0"/>
        <v/>
      </c>
      <c r="Q39" s="7" t="str">
        <f t="shared" si="0"/>
        <v/>
      </c>
      <c r="R39" s="7" t="str">
        <f t="shared" si="0"/>
        <v/>
      </c>
      <c r="S39" s="7" t="str">
        <f t="shared" si="0"/>
        <v/>
      </c>
      <c r="T39" s="7" t="str">
        <f t="shared" si="0"/>
        <v/>
      </c>
      <c r="U39" s="7" t="str">
        <f t="shared" si="0"/>
        <v/>
      </c>
      <c r="V39" s="7" t="str">
        <f t="shared" si="0"/>
        <v/>
      </c>
      <c r="W39" s="7" t="str">
        <f t="shared" si="0"/>
        <v/>
      </c>
      <c r="X39" s="7" t="str">
        <f t="shared" si="0"/>
        <v/>
      </c>
      <c r="Y39" s="7" t="str">
        <f t="shared" si="0"/>
        <v/>
      </c>
      <c r="Z39" s="7" t="str">
        <f t="shared" si="0"/>
        <v/>
      </c>
      <c r="AA39" s="7" t="str">
        <f t="shared" si="0"/>
        <v/>
      </c>
      <c r="AB39" s="7" t="str">
        <f t="shared" si="0"/>
        <v/>
      </c>
      <c r="AC39" s="7" t="str">
        <f t="shared" si="0"/>
        <v/>
      </c>
      <c r="AD39" s="7" t="str">
        <f t="shared" si="0"/>
        <v/>
      </c>
      <c r="AE39" s="7" t="str">
        <f t="shared" si="0"/>
        <v/>
      </c>
      <c r="AF39" s="7" t="str">
        <f t="shared" si="0"/>
        <v/>
      </c>
      <c r="AG39" s="7" t="str">
        <f t="shared" si="0"/>
        <v/>
      </c>
    </row>
    <row r="40" spans="1:33" x14ac:dyDescent="0.25">
      <c r="A40" s="22" t="s">
        <v>50</v>
      </c>
      <c r="B40" s="26" t="str" cm="1">
        <f t="array" ref="B40">IFERROR(IF(ROUNDUP(SUMPRODUCT(1/COUNTIF(C40:AG40,C40:AG40)),0)&lt;=2, "Passed", "Failed"),"Failed")</f>
        <v>Passed</v>
      </c>
      <c r="C40" s="7" t="str">
        <f t="shared" ref="C40:R57" si="1">IF(LEN(C4)=1,"",RIGHT(C4,LEN(C4)-2))</f>
        <v/>
      </c>
      <c r="D40" s="7" t="str">
        <f t="shared" si="1"/>
        <v/>
      </c>
      <c r="E40" s="7" t="str">
        <f t="shared" si="1"/>
        <v/>
      </c>
      <c r="F40" s="7" t="str">
        <f t="shared" si="1"/>
        <v/>
      </c>
      <c r="G40" s="7" t="str">
        <f t="shared" si="1"/>
        <v/>
      </c>
      <c r="H40" s="7" t="str">
        <f t="shared" si="1"/>
        <v/>
      </c>
      <c r="I40" s="7" t="str">
        <f t="shared" si="1"/>
        <v/>
      </c>
      <c r="J40" s="7" t="str">
        <f t="shared" si="1"/>
        <v/>
      </c>
      <c r="K40" s="7" t="str">
        <f t="shared" si="1"/>
        <v/>
      </c>
      <c r="L40" s="7" t="str">
        <f t="shared" si="1"/>
        <v/>
      </c>
      <c r="M40" s="7" t="str">
        <f t="shared" si="1"/>
        <v/>
      </c>
      <c r="N40" s="7" t="str">
        <f t="shared" si="1"/>
        <v/>
      </c>
      <c r="O40" s="7" t="str">
        <f t="shared" si="1"/>
        <v/>
      </c>
      <c r="P40" s="7" t="str">
        <f t="shared" si="1"/>
        <v/>
      </c>
      <c r="Q40" s="7" t="str">
        <f t="shared" si="1"/>
        <v/>
      </c>
      <c r="R40" s="7" t="str">
        <f t="shared" si="1"/>
        <v/>
      </c>
      <c r="S40" s="7" t="str">
        <f t="shared" si="0"/>
        <v/>
      </c>
      <c r="T40" s="7" t="str">
        <f t="shared" si="0"/>
        <v/>
      </c>
      <c r="U40" s="7" t="str">
        <f t="shared" si="0"/>
        <v/>
      </c>
      <c r="V40" s="7" t="str">
        <f t="shared" si="0"/>
        <v/>
      </c>
      <c r="W40" s="7" t="str">
        <f t="shared" si="0"/>
        <v/>
      </c>
      <c r="X40" s="7" t="str">
        <f t="shared" si="0"/>
        <v/>
      </c>
      <c r="Y40" s="7" t="str">
        <f t="shared" si="0"/>
        <v/>
      </c>
      <c r="Z40" s="7" t="str">
        <f t="shared" si="0"/>
        <v/>
      </c>
      <c r="AA40" s="7" t="str">
        <f t="shared" si="0"/>
        <v/>
      </c>
      <c r="AB40" s="7" t="str">
        <f t="shared" si="0"/>
        <v/>
      </c>
      <c r="AC40" s="7" t="str">
        <f t="shared" si="0"/>
        <v/>
      </c>
      <c r="AD40" s="7" t="str">
        <f t="shared" si="0"/>
        <v/>
      </c>
      <c r="AE40" s="7" t="str">
        <f t="shared" si="0"/>
        <v/>
      </c>
      <c r="AF40" s="7" t="str">
        <f t="shared" si="0"/>
        <v/>
      </c>
      <c r="AG40" s="7" t="str">
        <f t="shared" si="0"/>
        <v/>
      </c>
    </row>
    <row r="41" spans="1:33" x14ac:dyDescent="0.25">
      <c r="A41" s="22" t="s">
        <v>51</v>
      </c>
      <c r="B41" s="26" t="str" cm="1">
        <f t="array" ref="B41">IFERROR(IF(ROUNDUP(SUMPRODUCT(1/COUNTIF(C41:AG41,C41:AG41)),0)&lt;=2, "Passed", "Failed"),"Failed")</f>
        <v>Passed</v>
      </c>
      <c r="C41" s="7" t="str">
        <f t="shared" si="1"/>
        <v/>
      </c>
      <c r="D41" s="7" t="str">
        <f t="shared" si="0"/>
        <v/>
      </c>
      <c r="E41" s="7" t="str">
        <f t="shared" si="0"/>
        <v/>
      </c>
      <c r="F41" s="7" t="str">
        <f t="shared" si="0"/>
        <v/>
      </c>
      <c r="G41" s="7" t="str">
        <f t="shared" si="0"/>
        <v/>
      </c>
      <c r="H41" s="7" t="str">
        <f t="shared" si="0"/>
        <v/>
      </c>
      <c r="I41" s="7" t="str">
        <f t="shared" si="0"/>
        <v/>
      </c>
      <c r="J41" s="7" t="str">
        <f t="shared" si="0"/>
        <v/>
      </c>
      <c r="K41" s="7" t="str">
        <f t="shared" si="0"/>
        <v/>
      </c>
      <c r="L41" s="7" t="str">
        <f t="shared" si="0"/>
        <v/>
      </c>
      <c r="M41" s="7" t="str">
        <f t="shared" si="0"/>
        <v/>
      </c>
      <c r="N41" s="7" t="str">
        <f t="shared" si="0"/>
        <v/>
      </c>
      <c r="O41" s="7" t="str">
        <f t="shared" si="0"/>
        <v/>
      </c>
      <c r="P41" s="7" t="str">
        <f t="shared" si="0"/>
        <v/>
      </c>
      <c r="Q41" s="7" t="str">
        <f t="shared" si="0"/>
        <v/>
      </c>
      <c r="R41" s="7" t="str">
        <f t="shared" si="0"/>
        <v/>
      </c>
      <c r="S41" s="7" t="str">
        <f t="shared" si="0"/>
        <v/>
      </c>
      <c r="T41" s="7" t="str">
        <f t="shared" si="0"/>
        <v/>
      </c>
      <c r="U41" s="7" t="str">
        <f t="shared" si="0"/>
        <v/>
      </c>
      <c r="V41" s="7" t="str">
        <f t="shared" si="0"/>
        <v/>
      </c>
      <c r="W41" s="7" t="str">
        <f t="shared" si="0"/>
        <v/>
      </c>
      <c r="X41" s="7" t="str">
        <f t="shared" si="0"/>
        <v/>
      </c>
      <c r="Y41" s="7" t="str">
        <f t="shared" si="0"/>
        <v/>
      </c>
      <c r="Z41" s="7" t="str">
        <f t="shared" si="0"/>
        <v/>
      </c>
      <c r="AA41" s="7" t="str">
        <f t="shared" si="0"/>
        <v/>
      </c>
      <c r="AB41" s="7" t="str">
        <f t="shared" si="0"/>
        <v/>
      </c>
      <c r="AC41" s="7" t="str">
        <f t="shared" si="0"/>
        <v/>
      </c>
      <c r="AD41" s="7" t="str">
        <f t="shared" si="0"/>
        <v/>
      </c>
      <c r="AE41" s="7" t="str">
        <f t="shared" si="0"/>
        <v/>
      </c>
      <c r="AF41" s="7" t="str">
        <f t="shared" si="0"/>
        <v/>
      </c>
      <c r="AG41" s="7" t="str">
        <f t="shared" si="0"/>
        <v/>
      </c>
    </row>
    <row r="42" spans="1:33" x14ac:dyDescent="0.25">
      <c r="A42" s="22" t="s">
        <v>52</v>
      </c>
      <c r="B42" s="26" t="str" cm="1">
        <f t="array" ref="B42">IFERROR(IF(ROUNDUP(SUMPRODUCT(1/COUNTIF(C42:AG42,C42:AG42)),0)&lt;=2, "Passed", "Failed"),"Failed")</f>
        <v>Passed</v>
      </c>
      <c r="C42" s="7" t="str">
        <f t="shared" si="1"/>
        <v/>
      </c>
      <c r="D42" s="7" t="str">
        <f t="shared" si="0"/>
        <v/>
      </c>
      <c r="E42" s="7" t="str">
        <f t="shared" si="0"/>
        <v/>
      </c>
      <c r="F42" s="7" t="str">
        <f t="shared" si="0"/>
        <v/>
      </c>
      <c r="G42" s="7" t="str">
        <f t="shared" si="0"/>
        <v/>
      </c>
      <c r="H42" s="7" t="str">
        <f t="shared" si="0"/>
        <v/>
      </c>
      <c r="I42" s="7" t="str">
        <f t="shared" si="0"/>
        <v/>
      </c>
      <c r="J42" s="7" t="str">
        <f t="shared" si="0"/>
        <v/>
      </c>
      <c r="K42" s="7" t="str">
        <f t="shared" si="0"/>
        <v/>
      </c>
      <c r="L42" s="7" t="str">
        <f t="shared" si="0"/>
        <v/>
      </c>
      <c r="M42" s="7" t="str">
        <f t="shared" si="0"/>
        <v/>
      </c>
      <c r="N42" s="7" t="str">
        <f t="shared" si="0"/>
        <v/>
      </c>
      <c r="O42" s="7" t="str">
        <f t="shared" si="0"/>
        <v/>
      </c>
      <c r="P42" s="7" t="str">
        <f t="shared" si="0"/>
        <v/>
      </c>
      <c r="Q42" s="7" t="str">
        <f t="shared" si="0"/>
        <v/>
      </c>
      <c r="R42" s="7" t="str">
        <f t="shared" si="0"/>
        <v/>
      </c>
      <c r="S42" s="7" t="str">
        <f t="shared" si="0"/>
        <v/>
      </c>
      <c r="T42" s="7" t="str">
        <f t="shared" si="0"/>
        <v/>
      </c>
      <c r="U42" s="7" t="str">
        <f t="shared" si="0"/>
        <v/>
      </c>
      <c r="V42" s="7" t="str">
        <f t="shared" si="0"/>
        <v/>
      </c>
      <c r="W42" s="7" t="str">
        <f t="shared" si="0"/>
        <v/>
      </c>
      <c r="X42" s="7" t="str">
        <f t="shared" si="0"/>
        <v/>
      </c>
      <c r="Y42" s="7" t="str">
        <f t="shared" si="0"/>
        <v/>
      </c>
      <c r="Z42" s="7" t="str">
        <f t="shared" si="0"/>
        <v/>
      </c>
      <c r="AA42" s="7" t="str">
        <f t="shared" si="0"/>
        <v/>
      </c>
      <c r="AB42" s="7" t="str">
        <f t="shared" si="0"/>
        <v/>
      </c>
      <c r="AC42" s="7" t="str">
        <f t="shared" si="0"/>
        <v/>
      </c>
      <c r="AD42" s="7" t="str">
        <f t="shared" si="0"/>
        <v/>
      </c>
      <c r="AE42" s="7" t="str">
        <f t="shared" si="0"/>
        <v/>
      </c>
      <c r="AF42" s="7" t="str">
        <f t="shared" si="0"/>
        <v/>
      </c>
      <c r="AG42" s="7" t="str">
        <f t="shared" si="0"/>
        <v/>
      </c>
    </row>
    <row r="43" spans="1:33" x14ac:dyDescent="0.25">
      <c r="A43" s="22" t="s">
        <v>53</v>
      </c>
      <c r="B43" s="26" t="str" cm="1">
        <f t="array" ref="B43">IFERROR(IF(ROUNDUP(SUMPRODUCT(1/COUNTIF(C43:AG43,C43:AG43)),0)&lt;=2, "Passed", "Failed"),"Failed")</f>
        <v>Passed</v>
      </c>
      <c r="C43" s="7" t="str">
        <f t="shared" si="1"/>
        <v/>
      </c>
      <c r="D43" s="7" t="str">
        <f t="shared" si="0"/>
        <v/>
      </c>
      <c r="E43" s="7" t="str">
        <f t="shared" si="0"/>
        <v/>
      </c>
      <c r="F43" s="7" t="str">
        <f t="shared" si="0"/>
        <v/>
      </c>
      <c r="G43" s="7" t="str">
        <f t="shared" si="0"/>
        <v/>
      </c>
      <c r="H43" s="7" t="str">
        <f t="shared" si="0"/>
        <v/>
      </c>
      <c r="I43" s="7" t="str">
        <f t="shared" si="0"/>
        <v/>
      </c>
      <c r="J43" s="7" t="str">
        <f t="shared" si="0"/>
        <v/>
      </c>
      <c r="K43" s="7" t="str">
        <f t="shared" si="0"/>
        <v/>
      </c>
      <c r="L43" s="7" t="str">
        <f t="shared" si="0"/>
        <v/>
      </c>
      <c r="M43" s="7" t="str">
        <f t="shared" si="0"/>
        <v/>
      </c>
      <c r="N43" s="7" t="str">
        <f t="shared" si="0"/>
        <v/>
      </c>
      <c r="O43" s="7" t="str">
        <f t="shared" si="0"/>
        <v/>
      </c>
      <c r="P43" s="7" t="str">
        <f t="shared" si="0"/>
        <v/>
      </c>
      <c r="Q43" s="7" t="str">
        <f t="shared" si="0"/>
        <v/>
      </c>
      <c r="R43" s="7" t="str">
        <f t="shared" si="0"/>
        <v/>
      </c>
      <c r="S43" s="7" t="str">
        <f t="shared" si="0"/>
        <v/>
      </c>
      <c r="T43" s="7" t="str">
        <f t="shared" si="0"/>
        <v/>
      </c>
      <c r="U43" s="7" t="str">
        <f t="shared" si="0"/>
        <v/>
      </c>
      <c r="V43" s="7" t="str">
        <f t="shared" si="0"/>
        <v/>
      </c>
      <c r="W43" s="7" t="str">
        <f t="shared" si="0"/>
        <v/>
      </c>
      <c r="X43" s="7" t="str">
        <f t="shared" si="0"/>
        <v/>
      </c>
      <c r="Y43" s="7" t="str">
        <f t="shared" si="0"/>
        <v/>
      </c>
      <c r="Z43" s="7" t="str">
        <f t="shared" si="0"/>
        <v/>
      </c>
      <c r="AA43" s="7" t="str">
        <f t="shared" si="0"/>
        <v/>
      </c>
      <c r="AB43" s="7" t="str">
        <f t="shared" si="0"/>
        <v/>
      </c>
      <c r="AC43" s="7" t="str">
        <f t="shared" si="0"/>
        <v/>
      </c>
      <c r="AD43" s="7" t="str">
        <f t="shared" si="0"/>
        <v/>
      </c>
      <c r="AE43" s="7" t="str">
        <f t="shared" si="0"/>
        <v/>
      </c>
      <c r="AF43" s="7" t="str">
        <f t="shared" si="0"/>
        <v/>
      </c>
      <c r="AG43" s="7" t="str">
        <f t="shared" si="0"/>
        <v/>
      </c>
    </row>
    <row r="44" spans="1:33" x14ac:dyDescent="0.25">
      <c r="A44" s="22" t="s">
        <v>54</v>
      </c>
      <c r="B44" s="26" t="str" cm="1">
        <f t="array" ref="B44">IFERROR(IF(ROUNDUP(SUMPRODUCT(1/COUNTIF(C44:AG44,C44:AG44)),0)&lt;=2, "Passed", "Failed"),"Failed")</f>
        <v>Passed</v>
      </c>
      <c r="C44" s="7" t="str">
        <f t="shared" si="1"/>
        <v/>
      </c>
      <c r="D44" s="7" t="str">
        <f t="shared" si="0"/>
        <v/>
      </c>
      <c r="E44" s="7" t="str">
        <f t="shared" si="0"/>
        <v/>
      </c>
      <c r="F44" s="7" t="str">
        <f t="shared" si="0"/>
        <v/>
      </c>
      <c r="G44" s="7" t="str">
        <f t="shared" si="0"/>
        <v/>
      </c>
      <c r="H44" s="7" t="str">
        <f t="shared" si="0"/>
        <v/>
      </c>
      <c r="I44" s="7" t="str">
        <f t="shared" si="0"/>
        <v/>
      </c>
      <c r="J44" s="7" t="str">
        <f t="shared" si="0"/>
        <v/>
      </c>
      <c r="K44" s="7" t="str">
        <f t="shared" si="0"/>
        <v/>
      </c>
      <c r="L44" s="7" t="str">
        <f t="shared" si="0"/>
        <v/>
      </c>
      <c r="M44" s="7" t="str">
        <f t="shared" si="0"/>
        <v/>
      </c>
      <c r="N44" s="7" t="str">
        <f t="shared" si="0"/>
        <v/>
      </c>
      <c r="O44" s="7" t="str">
        <f t="shared" si="0"/>
        <v/>
      </c>
      <c r="P44" s="7" t="str">
        <f t="shared" si="0"/>
        <v/>
      </c>
      <c r="Q44" s="7" t="str">
        <f t="shared" si="0"/>
        <v/>
      </c>
      <c r="R44" s="7" t="str">
        <f t="shared" si="0"/>
        <v/>
      </c>
      <c r="S44" s="7" t="str">
        <f t="shared" si="0"/>
        <v/>
      </c>
      <c r="T44" s="7" t="str">
        <f t="shared" si="0"/>
        <v/>
      </c>
      <c r="U44" s="7" t="str">
        <f t="shared" si="0"/>
        <v/>
      </c>
      <c r="V44" s="7" t="str">
        <f t="shared" si="0"/>
        <v/>
      </c>
      <c r="W44" s="7" t="str">
        <f t="shared" si="0"/>
        <v/>
      </c>
      <c r="X44" s="7" t="str">
        <f t="shared" si="0"/>
        <v/>
      </c>
      <c r="Y44" s="7" t="str">
        <f t="shared" si="0"/>
        <v/>
      </c>
      <c r="Z44" s="7" t="str">
        <f t="shared" si="0"/>
        <v/>
      </c>
      <c r="AA44" s="7" t="str">
        <f t="shared" si="0"/>
        <v/>
      </c>
      <c r="AB44" s="7" t="str">
        <f t="shared" si="0"/>
        <v/>
      </c>
      <c r="AC44" s="7" t="str">
        <f t="shared" si="0"/>
        <v/>
      </c>
      <c r="AD44" s="7" t="str">
        <f t="shared" si="0"/>
        <v/>
      </c>
      <c r="AE44" s="7" t="str">
        <f t="shared" si="0"/>
        <v/>
      </c>
      <c r="AF44" s="7" t="str">
        <f t="shared" si="0"/>
        <v/>
      </c>
      <c r="AG44" s="7" t="str">
        <f t="shared" si="0"/>
        <v/>
      </c>
    </row>
    <row r="45" spans="1:33" x14ac:dyDescent="0.25">
      <c r="A45" s="22" t="s">
        <v>55</v>
      </c>
      <c r="B45" s="26" t="str" cm="1">
        <f t="array" ref="B45">IFERROR(IF(ROUNDUP(SUMPRODUCT(1/COUNTIF(C45:AG45,C45:AG45)),0)&lt;=2, "Passed", "Failed"),"Failed")</f>
        <v>Passed</v>
      </c>
      <c r="C45" s="7" t="str">
        <f t="shared" si="1"/>
        <v/>
      </c>
      <c r="D45" s="7" t="str">
        <f t="shared" si="0"/>
        <v/>
      </c>
      <c r="E45" s="7" t="str">
        <f t="shared" si="0"/>
        <v/>
      </c>
      <c r="F45" s="7" t="str">
        <f t="shared" si="0"/>
        <v/>
      </c>
      <c r="G45" s="7" t="str">
        <f t="shared" si="0"/>
        <v/>
      </c>
      <c r="H45" s="7" t="str">
        <f t="shared" si="0"/>
        <v/>
      </c>
      <c r="I45" s="7" t="str">
        <f t="shared" si="0"/>
        <v/>
      </c>
      <c r="J45" s="7" t="str">
        <f t="shared" si="0"/>
        <v/>
      </c>
      <c r="K45" s="7" t="str">
        <f t="shared" si="0"/>
        <v/>
      </c>
      <c r="L45" s="7" t="str">
        <f t="shared" si="0"/>
        <v/>
      </c>
      <c r="M45" s="7" t="str">
        <f t="shared" si="0"/>
        <v/>
      </c>
      <c r="N45" s="7" t="str">
        <f t="shared" si="0"/>
        <v/>
      </c>
      <c r="O45" s="7" t="str">
        <f t="shared" si="0"/>
        <v/>
      </c>
      <c r="P45" s="7" t="str">
        <f t="shared" si="0"/>
        <v/>
      </c>
      <c r="Q45" s="7" t="str">
        <f t="shared" si="0"/>
        <v/>
      </c>
      <c r="R45" s="7" t="str">
        <f t="shared" si="0"/>
        <v/>
      </c>
      <c r="S45" s="7" t="str">
        <f t="shared" si="0"/>
        <v/>
      </c>
      <c r="T45" s="7" t="str">
        <f t="shared" si="0"/>
        <v/>
      </c>
      <c r="U45" s="7" t="str">
        <f t="shared" si="0"/>
        <v/>
      </c>
      <c r="V45" s="7" t="str">
        <f t="shared" si="0"/>
        <v/>
      </c>
      <c r="W45" s="7" t="str">
        <f t="shared" si="0"/>
        <v/>
      </c>
      <c r="X45" s="7" t="str">
        <f t="shared" si="0"/>
        <v/>
      </c>
      <c r="Y45" s="7" t="str">
        <f t="shared" si="0"/>
        <v/>
      </c>
      <c r="Z45" s="7" t="str">
        <f t="shared" si="0"/>
        <v/>
      </c>
      <c r="AA45" s="7" t="str">
        <f t="shared" si="0"/>
        <v/>
      </c>
      <c r="AB45" s="7" t="str">
        <f t="shared" si="0"/>
        <v/>
      </c>
      <c r="AC45" s="7" t="str">
        <f t="shared" si="0"/>
        <v/>
      </c>
      <c r="AD45" s="7" t="str">
        <f t="shared" si="0"/>
        <v/>
      </c>
      <c r="AE45" s="7" t="str">
        <f t="shared" si="0"/>
        <v/>
      </c>
      <c r="AF45" s="7" t="str">
        <f t="shared" si="0"/>
        <v/>
      </c>
      <c r="AG45" s="7" t="str">
        <f t="shared" si="0"/>
        <v/>
      </c>
    </row>
    <row r="46" spans="1:33" x14ac:dyDescent="0.25">
      <c r="A46" s="22" t="s">
        <v>56</v>
      </c>
      <c r="B46" s="26" t="str" cm="1">
        <f t="array" ref="B46">IFERROR(IF(ROUNDUP(SUMPRODUCT(1/COUNTIF(C46:AG46,C46:AG46)),0)&lt;=2, "Passed", "Failed"),"Failed")</f>
        <v>Passed</v>
      </c>
      <c r="C46" s="7" t="str">
        <f t="shared" si="1"/>
        <v/>
      </c>
      <c r="D46" s="7" t="str">
        <f t="shared" si="0"/>
        <v/>
      </c>
      <c r="E46" s="7" t="str">
        <f t="shared" si="0"/>
        <v/>
      </c>
      <c r="F46" s="7" t="str">
        <f t="shared" si="0"/>
        <v/>
      </c>
      <c r="G46" s="7" t="str">
        <f t="shared" si="0"/>
        <v/>
      </c>
      <c r="H46" s="7" t="str">
        <f t="shared" si="0"/>
        <v/>
      </c>
      <c r="I46" s="7" t="str">
        <f t="shared" si="0"/>
        <v/>
      </c>
      <c r="J46" s="7" t="str">
        <f t="shared" si="0"/>
        <v/>
      </c>
      <c r="K46" s="7" t="str">
        <f t="shared" si="0"/>
        <v/>
      </c>
      <c r="L46" s="7" t="str">
        <f t="shared" si="0"/>
        <v/>
      </c>
      <c r="M46" s="7" t="str">
        <f t="shared" si="0"/>
        <v/>
      </c>
      <c r="N46" s="7" t="str">
        <f t="shared" si="0"/>
        <v/>
      </c>
      <c r="O46" s="7" t="str">
        <f t="shared" si="0"/>
        <v/>
      </c>
      <c r="P46" s="7" t="str">
        <f t="shared" si="0"/>
        <v/>
      </c>
      <c r="Q46" s="7" t="str">
        <f t="shared" si="0"/>
        <v/>
      </c>
      <c r="R46" s="7" t="str">
        <f t="shared" si="0"/>
        <v/>
      </c>
      <c r="S46" s="7" t="str">
        <f t="shared" si="0"/>
        <v/>
      </c>
      <c r="T46" s="7" t="str">
        <f t="shared" si="0"/>
        <v/>
      </c>
      <c r="U46" s="7" t="str">
        <f t="shared" si="0"/>
        <v/>
      </c>
      <c r="V46" s="7" t="str">
        <f t="shared" si="0"/>
        <v/>
      </c>
      <c r="W46" s="7" t="str">
        <f t="shared" si="0"/>
        <v/>
      </c>
      <c r="X46" s="7" t="str">
        <f t="shared" si="0"/>
        <v/>
      </c>
      <c r="Y46" s="7" t="str">
        <f t="shared" si="0"/>
        <v/>
      </c>
      <c r="Z46" s="7" t="str">
        <f t="shared" si="0"/>
        <v/>
      </c>
      <c r="AA46" s="7" t="str">
        <f t="shared" si="0"/>
        <v/>
      </c>
      <c r="AB46" s="7" t="str">
        <f t="shared" si="0"/>
        <v/>
      </c>
      <c r="AC46" s="7" t="str">
        <f t="shared" si="0"/>
        <v/>
      </c>
      <c r="AD46" s="7" t="str">
        <f t="shared" si="0"/>
        <v/>
      </c>
      <c r="AE46" s="7" t="str">
        <f t="shared" si="0"/>
        <v/>
      </c>
      <c r="AF46" s="7" t="str">
        <f t="shared" si="0"/>
        <v/>
      </c>
      <c r="AG46" s="7" t="str">
        <f t="shared" si="0"/>
        <v/>
      </c>
    </row>
    <row r="47" spans="1:33" x14ac:dyDescent="0.25">
      <c r="A47" s="22" t="s">
        <v>57</v>
      </c>
      <c r="B47" s="26" t="str" cm="1">
        <f t="array" ref="B47">IFERROR(IF(ROUNDUP(SUMPRODUCT(1/COUNTIF(C47:AG47,C47:AG47)),0)&lt;=2, "Passed", "Failed"),"Failed")</f>
        <v>Passed</v>
      </c>
      <c r="C47" s="7" t="str">
        <f t="shared" si="1"/>
        <v/>
      </c>
      <c r="D47" s="7" t="str">
        <f t="shared" si="0"/>
        <v/>
      </c>
      <c r="E47" s="7" t="str">
        <f t="shared" si="0"/>
        <v/>
      </c>
      <c r="F47" s="7" t="str">
        <f t="shared" si="0"/>
        <v/>
      </c>
      <c r="G47" s="7" t="str">
        <f t="shared" si="0"/>
        <v/>
      </c>
      <c r="H47" s="7" t="str">
        <f t="shared" si="0"/>
        <v/>
      </c>
      <c r="I47" s="7" t="str">
        <f t="shared" si="0"/>
        <v/>
      </c>
      <c r="J47" s="7" t="str">
        <f t="shared" si="0"/>
        <v/>
      </c>
      <c r="K47" s="7" t="str">
        <f t="shared" si="0"/>
        <v/>
      </c>
      <c r="L47" s="7" t="str">
        <f t="shared" si="0"/>
        <v/>
      </c>
      <c r="M47" s="7" t="str">
        <f t="shared" si="0"/>
        <v/>
      </c>
      <c r="N47" s="7" t="str">
        <f t="shared" si="0"/>
        <v/>
      </c>
      <c r="O47" s="7" t="str">
        <f t="shared" si="0"/>
        <v/>
      </c>
      <c r="P47" s="7" t="str">
        <f t="shared" si="0"/>
        <v/>
      </c>
      <c r="Q47" s="7" t="str">
        <f t="shared" si="0"/>
        <v/>
      </c>
      <c r="R47" s="7" t="str">
        <f t="shared" si="0"/>
        <v/>
      </c>
      <c r="S47" s="7" t="str">
        <f t="shared" si="0"/>
        <v/>
      </c>
      <c r="T47" s="7" t="str">
        <f t="shared" si="0"/>
        <v/>
      </c>
      <c r="U47" s="7" t="str">
        <f t="shared" si="0"/>
        <v/>
      </c>
      <c r="V47" s="7" t="str">
        <f t="shared" si="0"/>
        <v/>
      </c>
      <c r="W47" s="7" t="str">
        <f t="shared" si="0"/>
        <v/>
      </c>
      <c r="X47" s="7" t="str">
        <f t="shared" si="0"/>
        <v/>
      </c>
      <c r="Y47" s="7" t="str">
        <f t="shared" si="0"/>
        <v/>
      </c>
      <c r="Z47" s="7" t="str">
        <f t="shared" si="0"/>
        <v/>
      </c>
      <c r="AA47" s="7" t="str">
        <f t="shared" si="0"/>
        <v/>
      </c>
      <c r="AB47" s="7" t="str">
        <f t="shared" si="0"/>
        <v/>
      </c>
      <c r="AC47" s="7" t="str">
        <f t="shared" si="0"/>
        <v/>
      </c>
      <c r="AD47" s="7" t="str">
        <f t="shared" si="0"/>
        <v/>
      </c>
      <c r="AE47" s="7" t="str">
        <f t="shared" si="0"/>
        <v/>
      </c>
      <c r="AF47" s="7" t="str">
        <f t="shared" si="0"/>
        <v/>
      </c>
      <c r="AG47" s="7" t="str">
        <f t="shared" si="0"/>
        <v/>
      </c>
    </row>
    <row r="48" spans="1:33" x14ac:dyDescent="0.25">
      <c r="A48" s="22" t="s">
        <v>58</v>
      </c>
      <c r="B48" s="26" t="str" cm="1">
        <f t="array" ref="B48">IFERROR(IF(ROUNDUP(SUMPRODUCT(1/COUNTIF(C48:AG48,C48:AG48)),0)&lt;=2, "Passed", "Failed"),"Failed")</f>
        <v>Passed</v>
      </c>
      <c r="C48" s="7" t="str">
        <f t="shared" si="1"/>
        <v/>
      </c>
      <c r="D48" s="7" t="str">
        <f t="shared" ref="D48:AG56" si="2">IF(LEN(D12)=1,"",RIGHT(D12,LEN(D12)-2))</f>
        <v/>
      </c>
      <c r="E48" s="7" t="str">
        <f t="shared" si="2"/>
        <v/>
      </c>
      <c r="F48" s="7" t="str">
        <f t="shared" si="2"/>
        <v/>
      </c>
      <c r="G48" s="7" t="str">
        <f t="shared" si="2"/>
        <v/>
      </c>
      <c r="H48" s="7" t="str">
        <f t="shared" si="2"/>
        <v/>
      </c>
      <c r="I48" s="7" t="str">
        <f t="shared" si="2"/>
        <v/>
      </c>
      <c r="J48" s="7" t="str">
        <f t="shared" si="2"/>
        <v/>
      </c>
      <c r="K48" s="7" t="str">
        <f t="shared" si="2"/>
        <v/>
      </c>
      <c r="L48" s="7" t="str">
        <f t="shared" si="2"/>
        <v/>
      </c>
      <c r="M48" s="7" t="str">
        <f t="shared" si="2"/>
        <v/>
      </c>
      <c r="N48" s="7" t="str">
        <f t="shared" si="2"/>
        <v/>
      </c>
      <c r="O48" s="7" t="str">
        <f t="shared" si="2"/>
        <v/>
      </c>
      <c r="P48" s="7" t="str">
        <f t="shared" si="2"/>
        <v/>
      </c>
      <c r="Q48" s="7" t="str">
        <f t="shared" si="2"/>
        <v/>
      </c>
      <c r="R48" s="7" t="str">
        <f t="shared" si="2"/>
        <v/>
      </c>
      <c r="S48" s="7" t="str">
        <f t="shared" si="2"/>
        <v/>
      </c>
      <c r="T48" s="7" t="str">
        <f t="shared" si="2"/>
        <v/>
      </c>
      <c r="U48" s="7" t="str">
        <f t="shared" si="2"/>
        <v/>
      </c>
      <c r="V48" s="7" t="str">
        <f t="shared" si="2"/>
        <v/>
      </c>
      <c r="W48" s="7" t="str">
        <f t="shared" si="2"/>
        <v/>
      </c>
      <c r="X48" s="7" t="str">
        <f t="shared" si="2"/>
        <v/>
      </c>
      <c r="Y48" s="7" t="str">
        <f t="shared" si="2"/>
        <v/>
      </c>
      <c r="Z48" s="7" t="str">
        <f t="shared" si="2"/>
        <v/>
      </c>
      <c r="AA48" s="7" t="str">
        <f t="shared" si="2"/>
        <v/>
      </c>
      <c r="AB48" s="7" t="str">
        <f t="shared" si="2"/>
        <v/>
      </c>
      <c r="AC48" s="7" t="str">
        <f t="shared" si="2"/>
        <v/>
      </c>
      <c r="AD48" s="7" t="str">
        <f t="shared" si="2"/>
        <v/>
      </c>
      <c r="AE48" s="7" t="str">
        <f t="shared" si="2"/>
        <v/>
      </c>
      <c r="AF48" s="7" t="str">
        <f t="shared" si="2"/>
        <v/>
      </c>
      <c r="AG48" s="7" t="str">
        <f t="shared" si="2"/>
        <v/>
      </c>
    </row>
    <row r="49" spans="1:33" x14ac:dyDescent="0.25">
      <c r="A49" s="22" t="s">
        <v>59</v>
      </c>
      <c r="B49" s="26" t="str" cm="1">
        <f t="array" ref="B49">IFERROR(IF(ROUNDUP(SUMPRODUCT(1/COUNTIF(C49:AG49,C49:AG49)),0)&lt;=2, "Passed", "Failed"),"Failed")</f>
        <v>Passed</v>
      </c>
      <c r="C49" s="7" t="str">
        <f t="shared" si="1"/>
        <v/>
      </c>
      <c r="D49" s="7" t="str">
        <f t="shared" si="2"/>
        <v/>
      </c>
      <c r="E49" s="7" t="str">
        <f t="shared" si="2"/>
        <v/>
      </c>
      <c r="F49" s="7" t="str">
        <f t="shared" si="2"/>
        <v/>
      </c>
      <c r="G49" s="7" t="str">
        <f t="shared" si="2"/>
        <v/>
      </c>
      <c r="H49" s="7" t="str">
        <f t="shared" si="2"/>
        <v/>
      </c>
      <c r="I49" s="7" t="str">
        <f t="shared" si="2"/>
        <v/>
      </c>
      <c r="J49" s="7" t="str">
        <f t="shared" si="2"/>
        <v/>
      </c>
      <c r="K49" s="7" t="str">
        <f t="shared" si="2"/>
        <v/>
      </c>
      <c r="L49" s="7" t="str">
        <f t="shared" si="2"/>
        <v/>
      </c>
      <c r="M49" s="7" t="str">
        <f t="shared" si="2"/>
        <v/>
      </c>
      <c r="N49" s="7" t="str">
        <f t="shared" si="2"/>
        <v/>
      </c>
      <c r="O49" s="7" t="str">
        <f t="shared" si="2"/>
        <v/>
      </c>
      <c r="P49" s="7" t="str">
        <f t="shared" si="2"/>
        <v/>
      </c>
      <c r="Q49" s="7" t="str">
        <f t="shared" si="2"/>
        <v/>
      </c>
      <c r="R49" s="7" t="str">
        <f t="shared" si="2"/>
        <v/>
      </c>
      <c r="S49" s="7" t="str">
        <f t="shared" si="2"/>
        <v/>
      </c>
      <c r="T49" s="7" t="str">
        <f t="shared" si="2"/>
        <v/>
      </c>
      <c r="U49" s="7" t="str">
        <f t="shared" si="2"/>
        <v/>
      </c>
      <c r="V49" s="7" t="str">
        <f t="shared" si="2"/>
        <v/>
      </c>
      <c r="W49" s="7" t="str">
        <f t="shared" si="2"/>
        <v/>
      </c>
      <c r="X49" s="7" t="str">
        <f t="shared" si="2"/>
        <v/>
      </c>
      <c r="Y49" s="7" t="str">
        <f t="shared" si="2"/>
        <v/>
      </c>
      <c r="Z49" s="7" t="str">
        <f t="shared" si="2"/>
        <v/>
      </c>
      <c r="AA49" s="7" t="str">
        <f t="shared" si="2"/>
        <v/>
      </c>
      <c r="AB49" s="7" t="str">
        <f t="shared" si="2"/>
        <v/>
      </c>
      <c r="AC49" s="7" t="str">
        <f t="shared" si="2"/>
        <v/>
      </c>
      <c r="AD49" s="7" t="str">
        <f t="shared" si="2"/>
        <v/>
      </c>
      <c r="AE49" s="7" t="str">
        <f t="shared" si="2"/>
        <v/>
      </c>
      <c r="AF49" s="7" t="str">
        <f t="shared" si="2"/>
        <v/>
      </c>
      <c r="AG49" s="7" t="str">
        <f t="shared" si="2"/>
        <v/>
      </c>
    </row>
    <row r="50" spans="1:33" x14ac:dyDescent="0.25">
      <c r="A50" s="22" t="s">
        <v>60</v>
      </c>
      <c r="B50" s="26" t="str" cm="1">
        <f t="array" ref="B50">IFERROR(IF(ROUNDUP(SUMPRODUCT(1/COUNTIF(C50:AG50,C50:AG50)),0)&lt;=2, "Passed", "Failed"),"Failed")</f>
        <v>Passed</v>
      </c>
      <c r="C50" s="7" t="str">
        <f t="shared" si="1"/>
        <v/>
      </c>
      <c r="D50" s="7" t="str">
        <f t="shared" si="2"/>
        <v/>
      </c>
      <c r="E50" s="7" t="str">
        <f t="shared" si="2"/>
        <v/>
      </c>
      <c r="F50" s="7" t="str">
        <f t="shared" si="2"/>
        <v/>
      </c>
      <c r="G50" s="7" t="str">
        <f t="shared" si="2"/>
        <v/>
      </c>
      <c r="H50" s="7" t="str">
        <f t="shared" si="2"/>
        <v/>
      </c>
      <c r="I50" s="7" t="str">
        <f t="shared" si="2"/>
        <v/>
      </c>
      <c r="J50" s="7" t="str">
        <f t="shared" si="2"/>
        <v/>
      </c>
      <c r="K50" s="7" t="str">
        <f t="shared" si="2"/>
        <v/>
      </c>
      <c r="L50" s="7" t="str">
        <f t="shared" si="2"/>
        <v/>
      </c>
      <c r="M50" s="7" t="str">
        <f t="shared" si="2"/>
        <v/>
      </c>
      <c r="N50" s="7" t="str">
        <f t="shared" si="2"/>
        <v/>
      </c>
      <c r="O50" s="7" t="str">
        <f t="shared" si="2"/>
        <v/>
      </c>
      <c r="P50" s="7" t="str">
        <f t="shared" si="2"/>
        <v/>
      </c>
      <c r="Q50" s="7" t="str">
        <f t="shared" si="2"/>
        <v/>
      </c>
      <c r="R50" s="7" t="str">
        <f t="shared" si="2"/>
        <v/>
      </c>
      <c r="S50" s="7" t="str">
        <f t="shared" si="2"/>
        <v/>
      </c>
      <c r="T50" s="7" t="str">
        <f t="shared" si="2"/>
        <v/>
      </c>
      <c r="U50" s="7" t="str">
        <f t="shared" si="2"/>
        <v/>
      </c>
      <c r="V50" s="7" t="str">
        <f t="shared" si="2"/>
        <v/>
      </c>
      <c r="W50" s="7" t="str">
        <f t="shared" si="2"/>
        <v/>
      </c>
      <c r="X50" s="7" t="str">
        <f t="shared" si="2"/>
        <v/>
      </c>
      <c r="Y50" s="7" t="str">
        <f t="shared" si="2"/>
        <v/>
      </c>
      <c r="Z50" s="7" t="str">
        <f t="shared" si="2"/>
        <v/>
      </c>
      <c r="AA50" s="7" t="str">
        <f t="shared" si="2"/>
        <v/>
      </c>
      <c r="AB50" s="7" t="str">
        <f t="shared" si="2"/>
        <v/>
      </c>
      <c r="AC50" s="7" t="str">
        <f t="shared" si="2"/>
        <v/>
      </c>
      <c r="AD50" s="7" t="str">
        <f t="shared" si="2"/>
        <v/>
      </c>
      <c r="AE50" s="7" t="str">
        <f t="shared" si="2"/>
        <v/>
      </c>
      <c r="AF50" s="7" t="str">
        <f t="shared" si="2"/>
        <v/>
      </c>
      <c r="AG50" s="7" t="str">
        <f t="shared" si="2"/>
        <v/>
      </c>
    </row>
    <row r="51" spans="1:33" x14ac:dyDescent="0.25">
      <c r="A51" s="22" t="s">
        <v>61</v>
      </c>
      <c r="B51" s="26" t="str" cm="1">
        <f t="array" ref="B51">IFERROR(IF(ROUNDUP(SUMPRODUCT(1/COUNTIF(C51:AG51,C51:AG51)),0)&lt;=2, "Passed", "Failed"),"Failed")</f>
        <v>Passed</v>
      </c>
      <c r="C51" s="7" t="str">
        <f t="shared" si="1"/>
        <v/>
      </c>
      <c r="D51" s="7" t="str">
        <f t="shared" si="2"/>
        <v/>
      </c>
      <c r="E51" s="7" t="str">
        <f t="shared" si="2"/>
        <v/>
      </c>
      <c r="F51" s="7" t="str">
        <f t="shared" si="2"/>
        <v/>
      </c>
      <c r="G51" s="7" t="str">
        <f t="shared" si="2"/>
        <v/>
      </c>
      <c r="H51" s="7" t="str">
        <f t="shared" si="2"/>
        <v/>
      </c>
      <c r="I51" s="7" t="str">
        <f t="shared" si="2"/>
        <v/>
      </c>
      <c r="J51" s="7" t="str">
        <f t="shared" si="2"/>
        <v/>
      </c>
      <c r="K51" s="7" t="str">
        <f t="shared" si="2"/>
        <v/>
      </c>
      <c r="L51" s="7" t="str">
        <f t="shared" si="2"/>
        <v/>
      </c>
      <c r="M51" s="7" t="str">
        <f t="shared" si="2"/>
        <v/>
      </c>
      <c r="N51" s="7" t="str">
        <f t="shared" si="2"/>
        <v/>
      </c>
      <c r="O51" s="7" t="str">
        <f t="shared" si="2"/>
        <v/>
      </c>
      <c r="P51" s="7" t="str">
        <f t="shared" si="2"/>
        <v/>
      </c>
      <c r="Q51" s="7" t="str">
        <f t="shared" si="2"/>
        <v/>
      </c>
      <c r="R51" s="7" t="str">
        <f t="shared" si="2"/>
        <v/>
      </c>
      <c r="S51" s="7" t="str">
        <f t="shared" si="2"/>
        <v/>
      </c>
      <c r="T51" s="7" t="str">
        <f t="shared" si="2"/>
        <v/>
      </c>
      <c r="U51" s="7" t="str">
        <f t="shared" si="2"/>
        <v/>
      </c>
      <c r="V51" s="7" t="str">
        <f t="shared" si="2"/>
        <v/>
      </c>
      <c r="W51" s="7" t="str">
        <f t="shared" si="2"/>
        <v/>
      </c>
      <c r="X51" s="7" t="str">
        <f t="shared" si="2"/>
        <v/>
      </c>
      <c r="Y51" s="7" t="str">
        <f t="shared" si="2"/>
        <v/>
      </c>
      <c r="Z51" s="7" t="str">
        <f t="shared" si="2"/>
        <v/>
      </c>
      <c r="AA51" s="7" t="str">
        <f t="shared" si="2"/>
        <v/>
      </c>
      <c r="AB51" s="7" t="str">
        <f t="shared" si="2"/>
        <v/>
      </c>
      <c r="AC51" s="7" t="str">
        <f t="shared" si="2"/>
        <v/>
      </c>
      <c r="AD51" s="7" t="str">
        <f t="shared" si="2"/>
        <v/>
      </c>
      <c r="AE51" s="7" t="str">
        <f t="shared" si="2"/>
        <v/>
      </c>
      <c r="AF51" s="7" t="str">
        <f t="shared" si="2"/>
        <v/>
      </c>
      <c r="AG51" s="7" t="str">
        <f t="shared" si="2"/>
        <v/>
      </c>
    </row>
    <row r="52" spans="1:33" x14ac:dyDescent="0.25">
      <c r="A52" s="22" t="s">
        <v>62</v>
      </c>
      <c r="B52" s="26" t="str" cm="1">
        <f t="array" ref="B52">IFERROR(IF(ROUNDUP(SUMPRODUCT(1/COUNTIF(C52:AG52,C52:AG52)),0)&lt;=2, "Passed", "Failed"),"Failed")</f>
        <v>Passed</v>
      </c>
      <c r="C52" s="7" t="str">
        <f t="shared" si="1"/>
        <v/>
      </c>
      <c r="D52" s="7" t="str">
        <f t="shared" si="2"/>
        <v/>
      </c>
      <c r="E52" s="7" t="str">
        <f t="shared" si="2"/>
        <v/>
      </c>
      <c r="F52" s="7" t="str">
        <f t="shared" si="2"/>
        <v/>
      </c>
      <c r="G52" s="7" t="str">
        <f t="shared" si="2"/>
        <v/>
      </c>
      <c r="H52" s="7" t="str">
        <f t="shared" si="2"/>
        <v/>
      </c>
      <c r="I52" s="7" t="str">
        <f t="shared" si="2"/>
        <v/>
      </c>
      <c r="J52" s="7" t="str">
        <f t="shared" si="2"/>
        <v/>
      </c>
      <c r="K52" s="7" t="str">
        <f t="shared" si="2"/>
        <v/>
      </c>
      <c r="L52" s="7" t="str">
        <f t="shared" si="2"/>
        <v/>
      </c>
      <c r="M52" s="7" t="str">
        <f t="shared" si="2"/>
        <v/>
      </c>
      <c r="N52" s="7" t="str">
        <f t="shared" si="2"/>
        <v/>
      </c>
      <c r="O52" s="7" t="str">
        <f t="shared" si="2"/>
        <v/>
      </c>
      <c r="P52" s="7" t="str">
        <f t="shared" si="2"/>
        <v/>
      </c>
      <c r="Q52" s="7" t="str">
        <f t="shared" si="2"/>
        <v/>
      </c>
      <c r="R52" s="7" t="str">
        <f t="shared" si="2"/>
        <v/>
      </c>
      <c r="S52" s="7" t="str">
        <f t="shared" si="2"/>
        <v/>
      </c>
      <c r="T52" s="7" t="str">
        <f t="shared" si="2"/>
        <v/>
      </c>
      <c r="U52" s="7" t="str">
        <f t="shared" si="2"/>
        <v/>
      </c>
      <c r="V52" s="7" t="str">
        <f t="shared" si="2"/>
        <v/>
      </c>
      <c r="W52" s="7" t="str">
        <f t="shared" si="2"/>
        <v/>
      </c>
      <c r="X52" s="7" t="str">
        <f t="shared" si="2"/>
        <v/>
      </c>
      <c r="Y52" s="7" t="str">
        <f t="shared" si="2"/>
        <v/>
      </c>
      <c r="Z52" s="7" t="str">
        <f t="shared" si="2"/>
        <v/>
      </c>
      <c r="AA52" s="7" t="str">
        <f t="shared" si="2"/>
        <v/>
      </c>
      <c r="AB52" s="7" t="str">
        <f t="shared" si="2"/>
        <v/>
      </c>
      <c r="AC52" s="7" t="str">
        <f t="shared" si="2"/>
        <v/>
      </c>
      <c r="AD52" s="7" t="str">
        <f t="shared" si="2"/>
        <v/>
      </c>
      <c r="AE52" s="7" t="str">
        <f t="shared" si="2"/>
        <v/>
      </c>
      <c r="AF52" s="7" t="str">
        <f t="shared" si="2"/>
        <v/>
      </c>
      <c r="AG52" s="7" t="str">
        <f t="shared" si="2"/>
        <v/>
      </c>
    </row>
    <row r="53" spans="1:33" x14ac:dyDescent="0.25">
      <c r="A53" s="22" t="s">
        <v>63</v>
      </c>
      <c r="B53" s="26" t="str" cm="1">
        <f t="array" ref="B53">IFERROR(IF(ROUNDUP(SUMPRODUCT(1/COUNTIF(C53:AG53,C53:AG53)),0)&lt;=2, "Passed", "Failed"),"Failed")</f>
        <v>Passed</v>
      </c>
      <c r="C53" s="7" t="str">
        <f t="shared" si="1"/>
        <v/>
      </c>
      <c r="D53" s="7" t="str">
        <f t="shared" si="2"/>
        <v/>
      </c>
      <c r="E53" s="7" t="str">
        <f t="shared" si="2"/>
        <v/>
      </c>
      <c r="F53" s="7" t="str">
        <f t="shared" si="2"/>
        <v/>
      </c>
      <c r="G53" s="7" t="str">
        <f t="shared" si="2"/>
        <v/>
      </c>
      <c r="H53" s="7" t="str">
        <f t="shared" si="2"/>
        <v/>
      </c>
      <c r="I53" s="7" t="str">
        <f t="shared" si="2"/>
        <v/>
      </c>
      <c r="J53" s="7" t="str">
        <f t="shared" si="2"/>
        <v/>
      </c>
      <c r="K53" s="7" t="str">
        <f t="shared" si="2"/>
        <v/>
      </c>
      <c r="L53" s="7" t="str">
        <f t="shared" si="2"/>
        <v/>
      </c>
      <c r="M53" s="7" t="str">
        <f t="shared" si="2"/>
        <v/>
      </c>
      <c r="N53" s="7" t="str">
        <f t="shared" si="2"/>
        <v/>
      </c>
      <c r="O53" s="7" t="str">
        <f t="shared" si="2"/>
        <v/>
      </c>
      <c r="P53" s="7" t="str">
        <f t="shared" si="2"/>
        <v/>
      </c>
      <c r="Q53" s="7" t="str">
        <f t="shared" si="2"/>
        <v/>
      </c>
      <c r="R53" s="7" t="str">
        <f t="shared" si="2"/>
        <v/>
      </c>
      <c r="S53" s="7" t="str">
        <f t="shared" si="2"/>
        <v/>
      </c>
      <c r="T53" s="7" t="str">
        <f t="shared" si="2"/>
        <v/>
      </c>
      <c r="U53" s="7" t="str">
        <f t="shared" si="2"/>
        <v/>
      </c>
      <c r="V53" s="7" t="str">
        <f t="shared" si="2"/>
        <v/>
      </c>
      <c r="W53" s="7" t="str">
        <f t="shared" si="2"/>
        <v/>
      </c>
      <c r="X53" s="7" t="str">
        <f t="shared" si="2"/>
        <v/>
      </c>
      <c r="Y53" s="7" t="str">
        <f t="shared" si="2"/>
        <v/>
      </c>
      <c r="Z53" s="7" t="str">
        <f t="shared" si="2"/>
        <v/>
      </c>
      <c r="AA53" s="7" t="str">
        <f t="shared" si="2"/>
        <v/>
      </c>
      <c r="AB53" s="7" t="str">
        <f t="shared" si="2"/>
        <v/>
      </c>
      <c r="AC53" s="7" t="str">
        <f t="shared" si="2"/>
        <v/>
      </c>
      <c r="AD53" s="7" t="str">
        <f t="shared" si="2"/>
        <v/>
      </c>
      <c r="AE53" s="7" t="str">
        <f t="shared" si="2"/>
        <v/>
      </c>
      <c r="AF53" s="7" t="str">
        <f t="shared" si="2"/>
        <v/>
      </c>
      <c r="AG53" s="7" t="str">
        <f t="shared" si="2"/>
        <v/>
      </c>
    </row>
    <row r="54" spans="1:33" x14ac:dyDescent="0.25">
      <c r="A54" s="22" t="s">
        <v>64</v>
      </c>
      <c r="B54" s="26" t="str" cm="1">
        <f t="array" ref="B54">IFERROR(IF(ROUNDUP(SUMPRODUCT(1/COUNTIF(C54:AG54,C54:AG54)),0)&lt;=2, "Passed", "Failed"),"Failed")</f>
        <v>Passed</v>
      </c>
      <c r="C54" s="7" t="str">
        <f t="shared" si="1"/>
        <v/>
      </c>
      <c r="D54" s="7" t="str">
        <f t="shared" si="2"/>
        <v/>
      </c>
      <c r="E54" s="7" t="str">
        <f t="shared" si="2"/>
        <v/>
      </c>
      <c r="F54" s="7" t="str">
        <f t="shared" si="2"/>
        <v/>
      </c>
      <c r="G54" s="7" t="str">
        <f t="shared" si="2"/>
        <v/>
      </c>
      <c r="H54" s="7" t="str">
        <f t="shared" si="2"/>
        <v/>
      </c>
      <c r="I54" s="7" t="str">
        <f t="shared" si="2"/>
        <v/>
      </c>
      <c r="J54" s="7" t="str">
        <f t="shared" si="2"/>
        <v/>
      </c>
      <c r="K54" s="7" t="str">
        <f t="shared" si="2"/>
        <v/>
      </c>
      <c r="L54" s="7" t="str">
        <f t="shared" si="2"/>
        <v/>
      </c>
      <c r="M54" s="7" t="str">
        <f t="shared" si="2"/>
        <v/>
      </c>
      <c r="N54" s="7" t="str">
        <f t="shared" si="2"/>
        <v/>
      </c>
      <c r="O54" s="7" t="str">
        <f t="shared" si="2"/>
        <v/>
      </c>
      <c r="P54" s="7" t="str">
        <f t="shared" si="2"/>
        <v/>
      </c>
      <c r="Q54" s="7" t="str">
        <f t="shared" si="2"/>
        <v/>
      </c>
      <c r="R54" s="7" t="str">
        <f t="shared" si="2"/>
        <v/>
      </c>
      <c r="S54" s="7" t="str">
        <f t="shared" si="2"/>
        <v/>
      </c>
      <c r="T54" s="7" t="str">
        <f t="shared" si="2"/>
        <v/>
      </c>
      <c r="U54" s="7" t="str">
        <f t="shared" si="2"/>
        <v/>
      </c>
      <c r="V54" s="7" t="str">
        <f t="shared" si="2"/>
        <v/>
      </c>
      <c r="W54" s="7" t="str">
        <f t="shared" si="2"/>
        <v/>
      </c>
      <c r="X54" s="7" t="str">
        <f t="shared" si="2"/>
        <v/>
      </c>
      <c r="Y54" s="7" t="str">
        <f t="shared" si="2"/>
        <v/>
      </c>
      <c r="Z54" s="7" t="str">
        <f t="shared" si="2"/>
        <v/>
      </c>
      <c r="AA54" s="7" t="str">
        <f t="shared" si="2"/>
        <v/>
      </c>
      <c r="AB54" s="7" t="str">
        <f t="shared" si="2"/>
        <v/>
      </c>
      <c r="AC54" s="7" t="str">
        <f t="shared" si="2"/>
        <v/>
      </c>
      <c r="AD54" s="7" t="str">
        <f t="shared" si="2"/>
        <v/>
      </c>
      <c r="AE54" s="7" t="str">
        <f t="shared" si="2"/>
        <v/>
      </c>
      <c r="AF54" s="7" t="str">
        <f t="shared" si="2"/>
        <v/>
      </c>
      <c r="AG54" s="7" t="str">
        <f t="shared" si="2"/>
        <v/>
      </c>
    </row>
    <row r="55" spans="1:33" x14ac:dyDescent="0.25">
      <c r="A55" s="22" t="s">
        <v>65</v>
      </c>
      <c r="B55" s="26" t="str" cm="1">
        <f t="array" ref="B55">IFERROR(IF(ROUNDUP(SUMPRODUCT(1/COUNTIF(C55:AG55,C55:AG55)),0)&lt;=2, "Passed", "Failed"),"Failed")</f>
        <v>Passed</v>
      </c>
      <c r="C55" s="7" t="str">
        <f t="shared" si="1"/>
        <v/>
      </c>
      <c r="D55" s="7" t="str">
        <f t="shared" si="2"/>
        <v/>
      </c>
      <c r="E55" s="7" t="str">
        <f t="shared" si="2"/>
        <v/>
      </c>
      <c r="F55" s="7" t="str">
        <f t="shared" si="2"/>
        <v/>
      </c>
      <c r="G55" s="7" t="str">
        <f t="shared" si="2"/>
        <v/>
      </c>
      <c r="H55" s="7" t="str">
        <f t="shared" si="2"/>
        <v/>
      </c>
      <c r="I55" s="7" t="str">
        <f t="shared" si="2"/>
        <v/>
      </c>
      <c r="J55" s="7" t="str">
        <f t="shared" si="2"/>
        <v/>
      </c>
      <c r="K55" s="7" t="str">
        <f t="shared" si="2"/>
        <v/>
      </c>
      <c r="L55" s="7" t="str">
        <f t="shared" si="2"/>
        <v/>
      </c>
      <c r="M55" s="7" t="str">
        <f t="shared" si="2"/>
        <v/>
      </c>
      <c r="N55" s="7" t="str">
        <f t="shared" si="2"/>
        <v/>
      </c>
      <c r="O55" s="7" t="str">
        <f t="shared" si="2"/>
        <v/>
      </c>
      <c r="P55" s="7" t="str">
        <f t="shared" si="2"/>
        <v/>
      </c>
      <c r="Q55" s="7" t="str">
        <f t="shared" si="2"/>
        <v/>
      </c>
      <c r="R55" s="7" t="str">
        <f t="shared" si="2"/>
        <v/>
      </c>
      <c r="S55" s="7" t="str">
        <f t="shared" si="2"/>
        <v/>
      </c>
      <c r="T55" s="7" t="str">
        <f t="shared" si="2"/>
        <v/>
      </c>
      <c r="U55" s="7" t="str">
        <f t="shared" si="2"/>
        <v/>
      </c>
      <c r="V55" s="7" t="str">
        <f t="shared" si="2"/>
        <v/>
      </c>
      <c r="W55" s="7" t="str">
        <f t="shared" si="2"/>
        <v/>
      </c>
      <c r="X55" s="7" t="str">
        <f t="shared" si="2"/>
        <v/>
      </c>
      <c r="Y55" s="7" t="str">
        <f t="shared" si="2"/>
        <v/>
      </c>
      <c r="Z55" s="7" t="str">
        <f t="shared" si="2"/>
        <v/>
      </c>
      <c r="AA55" s="7" t="str">
        <f t="shared" si="2"/>
        <v/>
      </c>
      <c r="AB55" s="7" t="str">
        <f t="shared" si="2"/>
        <v/>
      </c>
      <c r="AC55" s="7" t="str">
        <f t="shared" si="2"/>
        <v/>
      </c>
      <c r="AD55" s="7" t="str">
        <f t="shared" si="2"/>
        <v/>
      </c>
      <c r="AE55" s="7" t="str">
        <f t="shared" si="2"/>
        <v/>
      </c>
      <c r="AF55" s="7" t="str">
        <f t="shared" si="2"/>
        <v/>
      </c>
      <c r="AG55" s="7" t="str">
        <f t="shared" si="2"/>
        <v/>
      </c>
    </row>
    <row r="56" spans="1:33" x14ac:dyDescent="0.25">
      <c r="A56" s="22" t="s">
        <v>66</v>
      </c>
      <c r="B56" s="26" t="str" cm="1">
        <f t="array" ref="B56">IFERROR(IF(ROUNDUP(SUMPRODUCT(1/COUNTIF(C56:AG56,C56:AG56)),0)&lt;=2, "Passed", "Failed"),"Failed")</f>
        <v>Passed</v>
      </c>
      <c r="C56" s="7" t="str">
        <f t="shared" si="1"/>
        <v/>
      </c>
      <c r="D56" s="7" t="str">
        <f t="shared" si="2"/>
        <v/>
      </c>
      <c r="E56" s="7" t="str">
        <f t="shared" si="2"/>
        <v/>
      </c>
      <c r="F56" s="7" t="str">
        <f t="shared" si="2"/>
        <v/>
      </c>
      <c r="G56" s="7" t="str">
        <f t="shared" si="2"/>
        <v/>
      </c>
      <c r="H56" s="7" t="str">
        <f t="shared" si="2"/>
        <v/>
      </c>
      <c r="I56" s="7" t="str">
        <f t="shared" si="2"/>
        <v/>
      </c>
      <c r="J56" s="7" t="str">
        <f t="shared" si="2"/>
        <v/>
      </c>
      <c r="K56" s="7" t="str">
        <f t="shared" si="2"/>
        <v/>
      </c>
      <c r="L56" s="7" t="str">
        <f t="shared" si="2"/>
        <v/>
      </c>
      <c r="M56" s="7" t="str">
        <f t="shared" si="2"/>
        <v/>
      </c>
      <c r="N56" s="7" t="str">
        <f t="shared" si="2"/>
        <v/>
      </c>
      <c r="O56" s="7" t="str">
        <f t="shared" si="2"/>
        <v/>
      </c>
      <c r="P56" s="7" t="str">
        <f t="shared" si="2"/>
        <v/>
      </c>
      <c r="Q56" s="7" t="str">
        <f t="shared" si="2"/>
        <v/>
      </c>
      <c r="R56" s="7" t="str">
        <f t="shared" si="2"/>
        <v/>
      </c>
      <c r="S56" s="7" t="str">
        <f t="shared" ref="D56:AG57" si="3">IF(LEN(S20)=1,"",RIGHT(S20,LEN(S20)-2))</f>
        <v/>
      </c>
      <c r="T56" s="7" t="str">
        <f t="shared" si="3"/>
        <v/>
      </c>
      <c r="U56" s="7" t="str">
        <f t="shared" si="3"/>
        <v/>
      </c>
      <c r="V56" s="7" t="str">
        <f t="shared" si="3"/>
        <v/>
      </c>
      <c r="W56" s="7" t="str">
        <f t="shared" si="3"/>
        <v/>
      </c>
      <c r="X56" s="7" t="str">
        <f t="shared" si="3"/>
        <v/>
      </c>
      <c r="Y56" s="7" t="str">
        <f t="shared" si="3"/>
        <v/>
      </c>
      <c r="Z56" s="7" t="str">
        <f t="shared" si="3"/>
        <v/>
      </c>
      <c r="AA56" s="7" t="str">
        <f t="shared" si="3"/>
        <v/>
      </c>
      <c r="AB56" s="7" t="str">
        <f t="shared" si="3"/>
        <v/>
      </c>
      <c r="AC56" s="7" t="str">
        <f t="shared" si="3"/>
        <v/>
      </c>
      <c r="AD56" s="7" t="str">
        <f t="shared" si="3"/>
        <v/>
      </c>
      <c r="AE56" s="7" t="str">
        <f t="shared" si="3"/>
        <v/>
      </c>
      <c r="AF56" s="7" t="str">
        <f t="shared" si="3"/>
        <v/>
      </c>
      <c r="AG56" s="7" t="str">
        <f t="shared" si="3"/>
        <v/>
      </c>
    </row>
    <row r="57" spans="1:33" x14ac:dyDescent="0.25">
      <c r="A57" s="23" t="s">
        <v>67</v>
      </c>
      <c r="B57" s="26" t="str" cm="1">
        <f t="array" ref="B57">IFERROR(IF(ROUNDUP(SUMPRODUCT(1/COUNTIF(C57:AG57,C57:AG57)),0)&lt;=2, "Passed", "Failed"),"Failed")</f>
        <v>Passed</v>
      </c>
      <c r="C57" s="7" t="str">
        <f t="shared" si="1"/>
        <v/>
      </c>
      <c r="D57" s="7" t="str">
        <f t="shared" si="3"/>
        <v/>
      </c>
      <c r="E57" s="7" t="str">
        <f t="shared" si="3"/>
        <v/>
      </c>
      <c r="F57" s="7" t="str">
        <f t="shared" si="3"/>
        <v/>
      </c>
      <c r="G57" s="7" t="str">
        <f t="shared" si="3"/>
        <v/>
      </c>
      <c r="H57" s="7" t="str">
        <f t="shared" si="3"/>
        <v/>
      </c>
      <c r="I57" s="7" t="str">
        <f t="shared" si="3"/>
        <v/>
      </c>
      <c r="J57" s="7" t="str">
        <f t="shared" si="3"/>
        <v/>
      </c>
      <c r="K57" s="7" t="str">
        <f t="shared" si="3"/>
        <v/>
      </c>
      <c r="L57" s="7" t="str">
        <f t="shared" si="3"/>
        <v/>
      </c>
      <c r="M57" s="7" t="str">
        <f t="shared" si="3"/>
        <v/>
      </c>
      <c r="N57" s="7" t="str">
        <f t="shared" si="3"/>
        <v/>
      </c>
      <c r="O57" s="7" t="str">
        <f t="shared" si="3"/>
        <v/>
      </c>
      <c r="P57" s="7" t="str">
        <f t="shared" si="3"/>
        <v/>
      </c>
      <c r="Q57" s="7" t="str">
        <f t="shared" si="3"/>
        <v/>
      </c>
      <c r="R57" s="7" t="str">
        <f t="shared" si="3"/>
        <v/>
      </c>
      <c r="S57" s="7" t="str">
        <f t="shared" si="3"/>
        <v/>
      </c>
      <c r="T57" s="7" t="str">
        <f t="shared" si="3"/>
        <v/>
      </c>
      <c r="U57" s="7" t="str">
        <f t="shared" si="3"/>
        <v/>
      </c>
      <c r="V57" s="7" t="str">
        <f t="shared" si="3"/>
        <v/>
      </c>
      <c r="W57" s="7" t="str">
        <f t="shared" si="3"/>
        <v/>
      </c>
      <c r="X57" s="7" t="str">
        <f t="shared" si="3"/>
        <v/>
      </c>
      <c r="Y57" s="7" t="str">
        <f t="shared" si="3"/>
        <v/>
      </c>
      <c r="Z57" s="7" t="str">
        <f t="shared" si="3"/>
        <v/>
      </c>
      <c r="AA57" s="7" t="str">
        <f t="shared" si="3"/>
        <v/>
      </c>
      <c r="AB57" s="7" t="str">
        <f t="shared" si="3"/>
        <v/>
      </c>
      <c r="AC57" s="7" t="str">
        <f t="shared" si="3"/>
        <v/>
      </c>
      <c r="AD57" s="7" t="str">
        <f t="shared" si="3"/>
        <v/>
      </c>
      <c r="AE57" s="7" t="str">
        <f t="shared" si="3"/>
        <v/>
      </c>
      <c r="AF57" s="7" t="str">
        <f t="shared" si="3"/>
        <v/>
      </c>
      <c r="AG57" s="7" t="str">
        <f t="shared" si="3"/>
        <v/>
      </c>
    </row>
  </sheetData>
  <conditionalFormatting sqref="B39:B57">
    <cfRule type="cellIs" dxfId="17" priority="7" operator="equal">
      <formula>"Passed"</formula>
    </cfRule>
    <cfRule type="cellIs" dxfId="16" priority="8" operator="equal">
      <formula>"Failed"</formula>
    </cfRule>
  </conditionalFormatting>
  <conditionalFormatting sqref="C3:AG21">
    <cfRule type="beginsWith" dxfId="15" priority="1" operator="beginsWith" text="O">
      <formula>LEFT((C3),LEN("O"))=("O")</formula>
    </cfRule>
    <cfRule type="beginsWith" dxfId="14" priority="2" operator="beginsWith" text="M">
      <formula>LEFT((C3),LEN("M"))=("M")</formula>
    </cfRule>
    <cfRule type="beginsWith" dxfId="13" priority="3" operator="beginsWith" text="A">
      <formula>LEFT((C3),LEN("A"))=("A")</formula>
    </cfRule>
    <cfRule type="beginsWith" dxfId="12" priority="4" operator="beginsWith" text="N">
      <formula>LEFT((C3),LEN("N"))=("N")</formula>
    </cfRule>
  </conditionalFormatting>
  <conditionalFormatting sqref="C25:AG36">
    <cfRule type="cellIs" dxfId="11" priority="5" operator="equal">
      <formula>"Passed"</formula>
    </cfRule>
    <cfRule type="cellIs" dxfId="10" priority="6" operator="equal">
      <formula>"Failed"</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I104"/>
  <sheetViews>
    <sheetView workbookViewId="0">
      <selection activeCell="A104" sqref="A104"/>
    </sheetView>
  </sheetViews>
  <sheetFormatPr defaultColWidth="12.6640625" defaultRowHeight="15.75" customHeight="1" x14ac:dyDescent="0.25"/>
  <cols>
    <col min="1" max="1" width="7.109375" customWidth="1"/>
    <col min="2" max="2" width="7.44140625" customWidth="1"/>
    <col min="3" max="3" width="11.44140625" customWidth="1"/>
    <col min="4" max="4" width="6.6640625" customWidth="1"/>
    <col min="5" max="5" width="8.21875" customWidth="1"/>
    <col min="6" max="6" width="9" customWidth="1"/>
    <col min="7" max="35" width="6.6640625" customWidth="1"/>
  </cols>
  <sheetData>
    <row r="1" spans="1:35" x14ac:dyDescent="0.25">
      <c r="A1" s="1" t="s">
        <v>47</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7"/>
      <c r="AI1" s="17"/>
    </row>
    <row r="2" spans="1:35" x14ac:dyDescent="0.25">
      <c r="B2" s="19"/>
      <c r="C2" s="20" t="s">
        <v>3</v>
      </c>
      <c r="D2" s="20" t="s">
        <v>4</v>
      </c>
      <c r="E2" s="20" t="s">
        <v>5</v>
      </c>
      <c r="F2" s="20" t="s">
        <v>6</v>
      </c>
      <c r="G2" s="20" t="s">
        <v>7</v>
      </c>
      <c r="H2" s="20" t="s">
        <v>8</v>
      </c>
      <c r="I2" s="20" t="s">
        <v>9</v>
      </c>
      <c r="J2" s="20" t="s">
        <v>10</v>
      </c>
      <c r="K2" s="20" t="s">
        <v>11</v>
      </c>
      <c r="L2" s="20" t="s">
        <v>12</v>
      </c>
      <c r="M2" s="20" t="s">
        <v>13</v>
      </c>
      <c r="N2" s="20" t="s">
        <v>14</v>
      </c>
      <c r="O2" s="20" t="s">
        <v>15</v>
      </c>
      <c r="P2" s="20" t="s">
        <v>16</v>
      </c>
      <c r="Q2" s="20" t="s">
        <v>17</v>
      </c>
      <c r="R2" s="20" t="s">
        <v>18</v>
      </c>
      <c r="S2" s="20" t="s">
        <v>19</v>
      </c>
      <c r="T2" s="20" t="s">
        <v>20</v>
      </c>
      <c r="U2" s="20" t="s">
        <v>21</v>
      </c>
      <c r="V2" s="20" t="s">
        <v>22</v>
      </c>
      <c r="W2" s="20" t="s">
        <v>23</v>
      </c>
      <c r="X2" s="20" t="s">
        <v>24</v>
      </c>
      <c r="Y2" s="20" t="s">
        <v>25</v>
      </c>
      <c r="Z2" s="20" t="s">
        <v>26</v>
      </c>
      <c r="AA2" s="20" t="s">
        <v>27</v>
      </c>
      <c r="AB2" s="20" t="s">
        <v>28</v>
      </c>
      <c r="AC2" s="20" t="s">
        <v>29</v>
      </c>
      <c r="AD2" s="20" t="s">
        <v>30</v>
      </c>
      <c r="AE2" s="20" t="s">
        <v>31</v>
      </c>
      <c r="AF2" s="20" t="s">
        <v>32</v>
      </c>
      <c r="AG2" s="21" t="s">
        <v>33</v>
      </c>
      <c r="AH2" s="17"/>
      <c r="AI2" s="17"/>
    </row>
    <row r="3" spans="1:35" x14ac:dyDescent="0.25">
      <c r="B3" s="22" t="s">
        <v>48</v>
      </c>
      <c r="C3" s="6" t="s">
        <v>49</v>
      </c>
      <c r="D3" s="6" t="s">
        <v>35</v>
      </c>
      <c r="E3" s="6" t="s">
        <v>35</v>
      </c>
      <c r="F3" s="6" t="s">
        <v>37</v>
      </c>
      <c r="G3" s="6" t="s">
        <v>37</v>
      </c>
      <c r="H3" s="6" t="s">
        <v>49</v>
      </c>
      <c r="I3" s="6" t="s">
        <v>36</v>
      </c>
      <c r="J3" s="6" t="s">
        <v>36</v>
      </c>
      <c r="K3" s="6" t="s">
        <v>49</v>
      </c>
      <c r="L3" s="6" t="s">
        <v>35</v>
      </c>
      <c r="M3" s="6" t="s">
        <v>35</v>
      </c>
      <c r="N3" s="6" t="s">
        <v>37</v>
      </c>
      <c r="O3" s="6" t="s">
        <v>37</v>
      </c>
      <c r="P3" s="6" t="s">
        <v>49</v>
      </c>
      <c r="Q3" s="6" t="s">
        <v>36</v>
      </c>
      <c r="R3" s="6" t="s">
        <v>36</v>
      </c>
      <c r="S3" s="6" t="s">
        <v>49</v>
      </c>
      <c r="T3" s="6" t="s">
        <v>35</v>
      </c>
      <c r="U3" s="6" t="s">
        <v>35</v>
      </c>
      <c r="V3" s="6" t="s">
        <v>37</v>
      </c>
      <c r="W3" s="6" t="s">
        <v>37</v>
      </c>
      <c r="X3" s="6" t="s">
        <v>49</v>
      </c>
      <c r="Y3" s="6" t="s">
        <v>36</v>
      </c>
      <c r="Z3" s="6" t="s">
        <v>36</v>
      </c>
      <c r="AA3" s="6" t="s">
        <v>49</v>
      </c>
      <c r="AB3" s="6" t="s">
        <v>35</v>
      </c>
      <c r="AC3" s="6" t="s">
        <v>35</v>
      </c>
      <c r="AD3" s="6" t="s">
        <v>37</v>
      </c>
      <c r="AE3" s="6" t="s">
        <v>37</v>
      </c>
      <c r="AF3" s="6" t="s">
        <v>49</v>
      </c>
      <c r="AG3" s="9" t="s">
        <v>36</v>
      </c>
    </row>
    <row r="4" spans="1:35" x14ac:dyDescent="0.25">
      <c r="B4" s="22" t="s">
        <v>50</v>
      </c>
      <c r="C4" s="6" t="s">
        <v>49</v>
      </c>
      <c r="D4" s="6" t="s">
        <v>35</v>
      </c>
      <c r="E4" s="6" t="s">
        <v>35</v>
      </c>
      <c r="F4" s="6" t="s">
        <v>37</v>
      </c>
      <c r="G4" s="6" t="s">
        <v>37</v>
      </c>
      <c r="H4" s="6" t="s">
        <v>49</v>
      </c>
      <c r="I4" s="6" t="s">
        <v>36</v>
      </c>
      <c r="J4" s="6" t="s">
        <v>36</v>
      </c>
      <c r="K4" s="6" t="s">
        <v>49</v>
      </c>
      <c r="L4" s="6" t="s">
        <v>35</v>
      </c>
      <c r="M4" s="6" t="s">
        <v>35</v>
      </c>
      <c r="N4" s="6" t="s">
        <v>37</v>
      </c>
      <c r="O4" s="6" t="s">
        <v>37</v>
      </c>
      <c r="P4" s="6" t="s">
        <v>49</v>
      </c>
      <c r="Q4" s="6" t="s">
        <v>36</v>
      </c>
      <c r="R4" s="6" t="s">
        <v>36</v>
      </c>
      <c r="S4" s="6" t="s">
        <v>49</v>
      </c>
      <c r="T4" s="6" t="s">
        <v>35</v>
      </c>
      <c r="U4" s="6" t="s">
        <v>35</v>
      </c>
      <c r="V4" s="6" t="s">
        <v>37</v>
      </c>
      <c r="W4" s="6" t="s">
        <v>37</v>
      </c>
      <c r="X4" s="6" t="s">
        <v>49</v>
      </c>
      <c r="Y4" s="6" t="s">
        <v>36</v>
      </c>
      <c r="Z4" s="6" t="s">
        <v>36</v>
      </c>
      <c r="AA4" s="6" t="s">
        <v>49</v>
      </c>
      <c r="AB4" s="6" t="s">
        <v>35</v>
      </c>
      <c r="AC4" s="6" t="s">
        <v>35</v>
      </c>
      <c r="AD4" s="6" t="s">
        <v>37</v>
      </c>
      <c r="AE4" s="6" t="s">
        <v>37</v>
      </c>
      <c r="AF4" s="6" t="s">
        <v>49</v>
      </c>
      <c r="AG4" s="9" t="s">
        <v>36</v>
      </c>
    </row>
    <row r="5" spans="1:35" x14ac:dyDescent="0.25">
      <c r="B5" s="22" t="s">
        <v>51</v>
      </c>
      <c r="C5" s="6" t="s">
        <v>49</v>
      </c>
      <c r="D5" s="6" t="s">
        <v>35</v>
      </c>
      <c r="E5" s="6" t="s">
        <v>35</v>
      </c>
      <c r="F5" s="6" t="s">
        <v>37</v>
      </c>
      <c r="G5" s="6" t="s">
        <v>37</v>
      </c>
      <c r="H5" s="6" t="s">
        <v>49</v>
      </c>
      <c r="I5" s="6" t="s">
        <v>36</v>
      </c>
      <c r="J5" s="6" t="s">
        <v>36</v>
      </c>
      <c r="K5" s="6" t="s">
        <v>49</v>
      </c>
      <c r="L5" s="6" t="s">
        <v>35</v>
      </c>
      <c r="M5" s="6" t="s">
        <v>35</v>
      </c>
      <c r="N5" s="6" t="s">
        <v>37</v>
      </c>
      <c r="O5" s="6" t="s">
        <v>37</v>
      </c>
      <c r="P5" s="6" t="s">
        <v>49</v>
      </c>
      <c r="Q5" s="6" t="s">
        <v>36</v>
      </c>
      <c r="R5" s="6" t="s">
        <v>36</v>
      </c>
      <c r="S5" s="6" t="s">
        <v>49</v>
      </c>
      <c r="T5" s="6" t="s">
        <v>35</v>
      </c>
      <c r="U5" s="6" t="s">
        <v>35</v>
      </c>
      <c r="V5" s="6" t="s">
        <v>37</v>
      </c>
      <c r="W5" s="6" t="s">
        <v>37</v>
      </c>
      <c r="X5" s="6" t="s">
        <v>49</v>
      </c>
      <c r="Y5" s="6" t="s">
        <v>36</v>
      </c>
      <c r="Z5" s="6" t="s">
        <v>36</v>
      </c>
      <c r="AA5" s="6" t="s">
        <v>49</v>
      </c>
      <c r="AB5" s="6" t="s">
        <v>35</v>
      </c>
      <c r="AC5" s="6" t="s">
        <v>35</v>
      </c>
      <c r="AD5" s="6" t="s">
        <v>37</v>
      </c>
      <c r="AE5" s="6" t="s">
        <v>37</v>
      </c>
      <c r="AF5" s="6" t="s">
        <v>49</v>
      </c>
      <c r="AG5" s="9" t="s">
        <v>36</v>
      </c>
    </row>
    <row r="6" spans="1:35" x14ac:dyDescent="0.25">
      <c r="B6" s="22" t="s">
        <v>52</v>
      </c>
      <c r="C6" s="6" t="s">
        <v>49</v>
      </c>
      <c r="D6" s="6" t="s">
        <v>35</v>
      </c>
      <c r="E6" s="6" t="s">
        <v>35</v>
      </c>
      <c r="F6" s="6" t="s">
        <v>37</v>
      </c>
      <c r="G6" s="6" t="s">
        <v>37</v>
      </c>
      <c r="H6" s="6" t="s">
        <v>49</v>
      </c>
      <c r="I6" s="6" t="s">
        <v>36</v>
      </c>
      <c r="J6" s="6" t="s">
        <v>36</v>
      </c>
      <c r="K6" s="6" t="s">
        <v>49</v>
      </c>
      <c r="L6" s="6" t="s">
        <v>35</v>
      </c>
      <c r="M6" s="6" t="s">
        <v>35</v>
      </c>
      <c r="N6" s="6" t="s">
        <v>37</v>
      </c>
      <c r="O6" s="6" t="s">
        <v>37</v>
      </c>
      <c r="P6" s="6" t="s">
        <v>49</v>
      </c>
      <c r="Q6" s="6" t="s">
        <v>36</v>
      </c>
      <c r="R6" s="6" t="s">
        <v>36</v>
      </c>
      <c r="S6" s="6" t="s">
        <v>49</v>
      </c>
      <c r="T6" s="6" t="s">
        <v>35</v>
      </c>
      <c r="U6" s="6" t="s">
        <v>35</v>
      </c>
      <c r="V6" s="6" t="s">
        <v>37</v>
      </c>
      <c r="W6" s="6" t="s">
        <v>37</v>
      </c>
      <c r="X6" s="6" t="s">
        <v>49</v>
      </c>
      <c r="Y6" s="6" t="s">
        <v>36</v>
      </c>
      <c r="Z6" s="6" t="s">
        <v>36</v>
      </c>
      <c r="AA6" s="6" t="s">
        <v>49</v>
      </c>
      <c r="AB6" s="6" t="s">
        <v>35</v>
      </c>
      <c r="AC6" s="6" t="s">
        <v>35</v>
      </c>
      <c r="AD6" s="6" t="s">
        <v>37</v>
      </c>
      <c r="AE6" s="6" t="s">
        <v>37</v>
      </c>
      <c r="AF6" s="6" t="s">
        <v>49</v>
      </c>
      <c r="AG6" s="9" t="s">
        <v>36</v>
      </c>
    </row>
    <row r="7" spans="1:35" x14ac:dyDescent="0.25">
      <c r="B7" s="22" t="s">
        <v>53</v>
      </c>
      <c r="C7" s="6" t="s">
        <v>49</v>
      </c>
      <c r="D7" s="6" t="s">
        <v>35</v>
      </c>
      <c r="E7" s="6" t="s">
        <v>35</v>
      </c>
      <c r="F7" s="6" t="s">
        <v>37</v>
      </c>
      <c r="G7" s="6" t="s">
        <v>37</v>
      </c>
      <c r="H7" s="6" t="s">
        <v>49</v>
      </c>
      <c r="I7" s="6" t="s">
        <v>36</v>
      </c>
      <c r="J7" s="6" t="s">
        <v>36</v>
      </c>
      <c r="K7" s="6" t="s">
        <v>49</v>
      </c>
      <c r="L7" s="6" t="s">
        <v>35</v>
      </c>
      <c r="M7" s="6" t="s">
        <v>35</v>
      </c>
      <c r="N7" s="6" t="s">
        <v>37</v>
      </c>
      <c r="O7" s="6" t="s">
        <v>37</v>
      </c>
      <c r="P7" s="6" t="s">
        <v>49</v>
      </c>
      <c r="Q7" s="6" t="s">
        <v>36</v>
      </c>
      <c r="R7" s="6" t="s">
        <v>36</v>
      </c>
      <c r="S7" s="6" t="s">
        <v>49</v>
      </c>
      <c r="T7" s="6" t="s">
        <v>35</v>
      </c>
      <c r="U7" s="6" t="s">
        <v>35</v>
      </c>
      <c r="V7" s="6" t="s">
        <v>37</v>
      </c>
      <c r="W7" s="6" t="s">
        <v>37</v>
      </c>
      <c r="X7" s="6" t="s">
        <v>49</v>
      </c>
      <c r="Y7" s="6" t="s">
        <v>36</v>
      </c>
      <c r="Z7" s="6" t="s">
        <v>36</v>
      </c>
      <c r="AA7" s="6" t="s">
        <v>49</v>
      </c>
      <c r="AB7" s="6" t="s">
        <v>35</v>
      </c>
      <c r="AC7" s="6" t="s">
        <v>35</v>
      </c>
      <c r="AD7" s="6" t="s">
        <v>37</v>
      </c>
      <c r="AE7" s="6" t="s">
        <v>37</v>
      </c>
      <c r="AF7" s="6" t="s">
        <v>49</v>
      </c>
      <c r="AG7" s="9" t="s">
        <v>36</v>
      </c>
    </row>
    <row r="8" spans="1:35" x14ac:dyDescent="0.25">
      <c r="B8" s="22" t="s">
        <v>54</v>
      </c>
      <c r="C8" s="6" t="s">
        <v>36</v>
      </c>
      <c r="D8" s="6" t="s">
        <v>36</v>
      </c>
      <c r="E8" s="6" t="s">
        <v>49</v>
      </c>
      <c r="F8" s="6" t="s">
        <v>35</v>
      </c>
      <c r="G8" s="6" t="s">
        <v>35</v>
      </c>
      <c r="H8" s="6" t="s">
        <v>37</v>
      </c>
      <c r="I8" s="6" t="s">
        <v>37</v>
      </c>
      <c r="J8" s="6" t="s">
        <v>49</v>
      </c>
      <c r="K8" s="6" t="s">
        <v>36</v>
      </c>
      <c r="L8" s="6" t="s">
        <v>36</v>
      </c>
      <c r="M8" s="6" t="s">
        <v>49</v>
      </c>
      <c r="N8" s="6" t="s">
        <v>35</v>
      </c>
      <c r="O8" s="6" t="s">
        <v>35</v>
      </c>
      <c r="P8" s="6" t="s">
        <v>37</v>
      </c>
      <c r="Q8" s="6" t="s">
        <v>37</v>
      </c>
      <c r="R8" s="6" t="s">
        <v>49</v>
      </c>
      <c r="S8" s="6" t="s">
        <v>36</v>
      </c>
      <c r="T8" s="6" t="s">
        <v>36</v>
      </c>
      <c r="U8" s="6" t="s">
        <v>49</v>
      </c>
      <c r="V8" s="6" t="s">
        <v>35</v>
      </c>
      <c r="W8" s="6" t="s">
        <v>35</v>
      </c>
      <c r="X8" s="6" t="s">
        <v>37</v>
      </c>
      <c r="Y8" s="6" t="s">
        <v>37</v>
      </c>
      <c r="Z8" s="6" t="s">
        <v>49</v>
      </c>
      <c r="AA8" s="6" t="s">
        <v>36</v>
      </c>
      <c r="AB8" s="6" t="s">
        <v>36</v>
      </c>
      <c r="AC8" s="6" t="s">
        <v>49</v>
      </c>
      <c r="AD8" s="6" t="s">
        <v>35</v>
      </c>
      <c r="AE8" s="6" t="s">
        <v>35</v>
      </c>
      <c r="AF8" s="6" t="s">
        <v>37</v>
      </c>
      <c r="AG8" s="9" t="s">
        <v>37</v>
      </c>
    </row>
    <row r="9" spans="1:35" x14ac:dyDescent="0.25">
      <c r="B9" s="22" t="s">
        <v>55</v>
      </c>
      <c r="C9" s="6" t="s">
        <v>36</v>
      </c>
      <c r="D9" s="6" t="s">
        <v>36</v>
      </c>
      <c r="E9" s="6" t="s">
        <v>49</v>
      </c>
      <c r="F9" s="6" t="s">
        <v>35</v>
      </c>
      <c r="G9" s="6" t="s">
        <v>35</v>
      </c>
      <c r="H9" s="6" t="s">
        <v>37</v>
      </c>
      <c r="I9" s="6" t="s">
        <v>37</v>
      </c>
      <c r="J9" s="6" t="s">
        <v>49</v>
      </c>
      <c r="K9" s="6" t="s">
        <v>36</v>
      </c>
      <c r="L9" s="6" t="s">
        <v>36</v>
      </c>
      <c r="M9" s="6" t="s">
        <v>49</v>
      </c>
      <c r="N9" s="6" t="s">
        <v>35</v>
      </c>
      <c r="O9" s="6" t="s">
        <v>35</v>
      </c>
      <c r="P9" s="6" t="s">
        <v>37</v>
      </c>
      <c r="Q9" s="6" t="s">
        <v>37</v>
      </c>
      <c r="R9" s="6" t="s">
        <v>49</v>
      </c>
      <c r="S9" s="6" t="s">
        <v>36</v>
      </c>
      <c r="T9" s="6" t="s">
        <v>36</v>
      </c>
      <c r="U9" s="6" t="s">
        <v>49</v>
      </c>
      <c r="V9" s="6" t="s">
        <v>35</v>
      </c>
      <c r="W9" s="6" t="s">
        <v>35</v>
      </c>
      <c r="X9" s="6" t="s">
        <v>37</v>
      </c>
      <c r="Y9" s="6" t="s">
        <v>37</v>
      </c>
      <c r="Z9" s="6" t="s">
        <v>49</v>
      </c>
      <c r="AA9" s="6" t="s">
        <v>36</v>
      </c>
      <c r="AB9" s="6" t="s">
        <v>36</v>
      </c>
      <c r="AC9" s="6" t="s">
        <v>49</v>
      </c>
      <c r="AD9" s="6" t="s">
        <v>35</v>
      </c>
      <c r="AE9" s="6" t="s">
        <v>35</v>
      </c>
      <c r="AF9" s="6" t="s">
        <v>37</v>
      </c>
      <c r="AG9" s="9" t="s">
        <v>37</v>
      </c>
    </row>
    <row r="10" spans="1:35" x14ac:dyDescent="0.25">
      <c r="B10" s="22" t="s">
        <v>56</v>
      </c>
      <c r="C10" s="6" t="s">
        <v>36</v>
      </c>
      <c r="D10" s="6" t="s">
        <v>36</v>
      </c>
      <c r="E10" s="6" t="s">
        <v>49</v>
      </c>
      <c r="F10" s="6" t="s">
        <v>35</v>
      </c>
      <c r="G10" s="6" t="s">
        <v>35</v>
      </c>
      <c r="H10" s="6" t="s">
        <v>37</v>
      </c>
      <c r="I10" s="6" t="s">
        <v>37</v>
      </c>
      <c r="J10" s="6" t="s">
        <v>49</v>
      </c>
      <c r="K10" s="6" t="s">
        <v>36</v>
      </c>
      <c r="L10" s="6" t="s">
        <v>36</v>
      </c>
      <c r="M10" s="6" t="s">
        <v>49</v>
      </c>
      <c r="N10" s="6" t="s">
        <v>35</v>
      </c>
      <c r="O10" s="6" t="s">
        <v>35</v>
      </c>
      <c r="P10" s="6" t="s">
        <v>37</v>
      </c>
      <c r="Q10" s="6" t="s">
        <v>37</v>
      </c>
      <c r="R10" s="6" t="s">
        <v>49</v>
      </c>
      <c r="S10" s="6" t="s">
        <v>36</v>
      </c>
      <c r="T10" s="6" t="s">
        <v>36</v>
      </c>
      <c r="U10" s="6" t="s">
        <v>49</v>
      </c>
      <c r="V10" s="6" t="s">
        <v>35</v>
      </c>
      <c r="W10" s="6" t="s">
        <v>35</v>
      </c>
      <c r="X10" s="6" t="s">
        <v>37</v>
      </c>
      <c r="Y10" s="6" t="s">
        <v>37</v>
      </c>
      <c r="Z10" s="6" t="s">
        <v>49</v>
      </c>
      <c r="AA10" s="6" t="s">
        <v>36</v>
      </c>
      <c r="AB10" s="6" t="s">
        <v>36</v>
      </c>
      <c r="AC10" s="6" t="s">
        <v>49</v>
      </c>
      <c r="AD10" s="6" t="s">
        <v>35</v>
      </c>
      <c r="AE10" s="6" t="s">
        <v>35</v>
      </c>
      <c r="AF10" s="6" t="s">
        <v>37</v>
      </c>
      <c r="AG10" s="9" t="s">
        <v>37</v>
      </c>
    </row>
    <row r="11" spans="1:35" x14ac:dyDescent="0.25">
      <c r="B11" s="22" t="s">
        <v>57</v>
      </c>
      <c r="C11" s="6" t="s">
        <v>36</v>
      </c>
      <c r="D11" s="6" t="s">
        <v>36</v>
      </c>
      <c r="E11" s="6" t="s">
        <v>49</v>
      </c>
      <c r="F11" s="6" t="s">
        <v>35</v>
      </c>
      <c r="G11" s="6" t="s">
        <v>35</v>
      </c>
      <c r="H11" s="6" t="s">
        <v>37</v>
      </c>
      <c r="I11" s="6" t="s">
        <v>37</v>
      </c>
      <c r="J11" s="6" t="s">
        <v>49</v>
      </c>
      <c r="K11" s="6" t="s">
        <v>36</v>
      </c>
      <c r="L11" s="6" t="s">
        <v>36</v>
      </c>
      <c r="M11" s="6" t="s">
        <v>49</v>
      </c>
      <c r="N11" s="6" t="s">
        <v>35</v>
      </c>
      <c r="O11" s="6" t="s">
        <v>35</v>
      </c>
      <c r="P11" s="6" t="s">
        <v>37</v>
      </c>
      <c r="Q11" s="6" t="s">
        <v>37</v>
      </c>
      <c r="R11" s="6" t="s">
        <v>49</v>
      </c>
      <c r="S11" s="6" t="s">
        <v>36</v>
      </c>
      <c r="T11" s="6" t="s">
        <v>36</v>
      </c>
      <c r="U11" s="6" t="s">
        <v>49</v>
      </c>
      <c r="V11" s="6" t="s">
        <v>35</v>
      </c>
      <c r="W11" s="6" t="s">
        <v>35</v>
      </c>
      <c r="X11" s="6" t="s">
        <v>37</v>
      </c>
      <c r="Y11" s="6" t="s">
        <v>37</v>
      </c>
      <c r="Z11" s="6" t="s">
        <v>49</v>
      </c>
      <c r="AA11" s="6" t="s">
        <v>36</v>
      </c>
      <c r="AB11" s="6" t="s">
        <v>36</v>
      </c>
      <c r="AC11" s="6" t="s">
        <v>49</v>
      </c>
      <c r="AD11" s="6" t="s">
        <v>35</v>
      </c>
      <c r="AE11" s="6" t="s">
        <v>35</v>
      </c>
      <c r="AF11" s="6" t="s">
        <v>37</v>
      </c>
      <c r="AG11" s="9" t="s">
        <v>37</v>
      </c>
    </row>
    <row r="12" spans="1:35" x14ac:dyDescent="0.25">
      <c r="B12" s="22" t="s">
        <v>58</v>
      </c>
      <c r="C12" s="6" t="s">
        <v>37</v>
      </c>
      <c r="D12" s="6" t="s">
        <v>49</v>
      </c>
      <c r="E12" s="6" t="s">
        <v>36</v>
      </c>
      <c r="F12" s="6" t="s">
        <v>36</v>
      </c>
      <c r="G12" s="6" t="s">
        <v>49</v>
      </c>
      <c r="H12" s="6" t="s">
        <v>35</v>
      </c>
      <c r="I12" s="6" t="s">
        <v>35</v>
      </c>
      <c r="J12" s="6" t="s">
        <v>37</v>
      </c>
      <c r="K12" s="6" t="s">
        <v>37</v>
      </c>
      <c r="L12" s="6" t="s">
        <v>49</v>
      </c>
      <c r="M12" s="6" t="s">
        <v>36</v>
      </c>
      <c r="N12" s="6" t="s">
        <v>36</v>
      </c>
      <c r="O12" s="6" t="s">
        <v>49</v>
      </c>
      <c r="P12" s="6" t="s">
        <v>35</v>
      </c>
      <c r="Q12" s="6" t="s">
        <v>35</v>
      </c>
      <c r="R12" s="6" t="s">
        <v>37</v>
      </c>
      <c r="S12" s="6" t="s">
        <v>37</v>
      </c>
      <c r="T12" s="6" t="s">
        <v>49</v>
      </c>
      <c r="U12" s="6" t="s">
        <v>36</v>
      </c>
      <c r="V12" s="6" t="s">
        <v>36</v>
      </c>
      <c r="W12" s="6" t="s">
        <v>49</v>
      </c>
      <c r="X12" s="6" t="s">
        <v>35</v>
      </c>
      <c r="Y12" s="6" t="s">
        <v>35</v>
      </c>
      <c r="Z12" s="6" t="s">
        <v>37</v>
      </c>
      <c r="AA12" s="6" t="s">
        <v>37</v>
      </c>
      <c r="AB12" s="6" t="s">
        <v>49</v>
      </c>
      <c r="AC12" s="6" t="s">
        <v>36</v>
      </c>
      <c r="AD12" s="6" t="s">
        <v>36</v>
      </c>
      <c r="AE12" s="6" t="s">
        <v>49</v>
      </c>
      <c r="AF12" s="6" t="s">
        <v>35</v>
      </c>
      <c r="AG12" s="9" t="s">
        <v>35</v>
      </c>
    </row>
    <row r="13" spans="1:35" x14ac:dyDescent="0.25">
      <c r="B13" s="22" t="s">
        <v>59</v>
      </c>
      <c r="C13" s="6" t="s">
        <v>37</v>
      </c>
      <c r="D13" s="6" t="s">
        <v>49</v>
      </c>
      <c r="E13" s="6" t="s">
        <v>36</v>
      </c>
      <c r="F13" s="6" t="s">
        <v>36</v>
      </c>
      <c r="G13" s="6" t="s">
        <v>49</v>
      </c>
      <c r="H13" s="6" t="s">
        <v>35</v>
      </c>
      <c r="I13" s="6" t="s">
        <v>35</v>
      </c>
      <c r="J13" s="6" t="s">
        <v>37</v>
      </c>
      <c r="K13" s="6" t="s">
        <v>37</v>
      </c>
      <c r="L13" s="6" t="s">
        <v>49</v>
      </c>
      <c r="M13" s="6" t="s">
        <v>36</v>
      </c>
      <c r="N13" s="6" t="s">
        <v>36</v>
      </c>
      <c r="O13" s="6" t="s">
        <v>49</v>
      </c>
      <c r="P13" s="6" t="s">
        <v>35</v>
      </c>
      <c r="Q13" s="6" t="s">
        <v>35</v>
      </c>
      <c r="R13" s="6" t="s">
        <v>37</v>
      </c>
      <c r="S13" s="6" t="s">
        <v>37</v>
      </c>
      <c r="T13" s="6" t="s">
        <v>49</v>
      </c>
      <c r="U13" s="6" t="s">
        <v>36</v>
      </c>
      <c r="V13" s="6" t="s">
        <v>36</v>
      </c>
      <c r="W13" s="6" t="s">
        <v>49</v>
      </c>
      <c r="X13" s="6" t="s">
        <v>35</v>
      </c>
      <c r="Y13" s="6" t="s">
        <v>35</v>
      </c>
      <c r="Z13" s="6" t="s">
        <v>37</v>
      </c>
      <c r="AA13" s="6" t="s">
        <v>37</v>
      </c>
      <c r="AB13" s="6" t="s">
        <v>49</v>
      </c>
      <c r="AC13" s="6" t="s">
        <v>36</v>
      </c>
      <c r="AD13" s="6" t="s">
        <v>36</v>
      </c>
      <c r="AE13" s="6" t="s">
        <v>49</v>
      </c>
      <c r="AF13" s="6" t="s">
        <v>35</v>
      </c>
      <c r="AG13" s="9" t="s">
        <v>35</v>
      </c>
    </row>
    <row r="14" spans="1:35" x14ac:dyDescent="0.25">
      <c r="B14" s="22" t="s">
        <v>60</v>
      </c>
      <c r="C14" s="6" t="s">
        <v>37</v>
      </c>
      <c r="D14" s="6" t="s">
        <v>49</v>
      </c>
      <c r="E14" s="6" t="s">
        <v>36</v>
      </c>
      <c r="F14" s="6" t="s">
        <v>36</v>
      </c>
      <c r="G14" s="6" t="s">
        <v>49</v>
      </c>
      <c r="H14" s="6" t="s">
        <v>35</v>
      </c>
      <c r="I14" s="6" t="s">
        <v>35</v>
      </c>
      <c r="J14" s="6" t="s">
        <v>37</v>
      </c>
      <c r="K14" s="6" t="s">
        <v>37</v>
      </c>
      <c r="L14" s="6" t="s">
        <v>49</v>
      </c>
      <c r="M14" s="6" t="s">
        <v>36</v>
      </c>
      <c r="N14" s="6" t="s">
        <v>36</v>
      </c>
      <c r="O14" s="6" t="s">
        <v>49</v>
      </c>
      <c r="P14" s="6" t="s">
        <v>35</v>
      </c>
      <c r="Q14" s="6" t="s">
        <v>35</v>
      </c>
      <c r="R14" s="6" t="s">
        <v>37</v>
      </c>
      <c r="S14" s="6" t="s">
        <v>37</v>
      </c>
      <c r="T14" s="6" t="s">
        <v>49</v>
      </c>
      <c r="U14" s="6" t="s">
        <v>36</v>
      </c>
      <c r="V14" s="6" t="s">
        <v>36</v>
      </c>
      <c r="W14" s="6" t="s">
        <v>49</v>
      </c>
      <c r="X14" s="6" t="s">
        <v>35</v>
      </c>
      <c r="Y14" s="6" t="s">
        <v>35</v>
      </c>
      <c r="Z14" s="6" t="s">
        <v>37</v>
      </c>
      <c r="AA14" s="6" t="s">
        <v>37</v>
      </c>
      <c r="AB14" s="6" t="s">
        <v>49</v>
      </c>
      <c r="AC14" s="6" t="s">
        <v>36</v>
      </c>
      <c r="AD14" s="6" t="s">
        <v>36</v>
      </c>
      <c r="AE14" s="6" t="s">
        <v>49</v>
      </c>
      <c r="AF14" s="6" t="s">
        <v>35</v>
      </c>
      <c r="AG14" s="9" t="s">
        <v>35</v>
      </c>
    </row>
    <row r="15" spans="1:35" x14ac:dyDescent="0.25">
      <c r="B15" s="22" t="s">
        <v>61</v>
      </c>
      <c r="C15" s="6" t="s">
        <v>37</v>
      </c>
      <c r="D15" s="6" t="s">
        <v>49</v>
      </c>
      <c r="E15" s="6" t="s">
        <v>36</v>
      </c>
      <c r="F15" s="6" t="s">
        <v>36</v>
      </c>
      <c r="G15" s="6" t="s">
        <v>49</v>
      </c>
      <c r="H15" s="6" t="s">
        <v>35</v>
      </c>
      <c r="I15" s="6" t="s">
        <v>35</v>
      </c>
      <c r="J15" s="6" t="s">
        <v>37</v>
      </c>
      <c r="K15" s="6" t="s">
        <v>37</v>
      </c>
      <c r="L15" s="6" t="s">
        <v>49</v>
      </c>
      <c r="M15" s="6" t="s">
        <v>36</v>
      </c>
      <c r="N15" s="6" t="s">
        <v>36</v>
      </c>
      <c r="O15" s="6" t="s">
        <v>49</v>
      </c>
      <c r="P15" s="6" t="s">
        <v>35</v>
      </c>
      <c r="Q15" s="6" t="s">
        <v>35</v>
      </c>
      <c r="R15" s="6" t="s">
        <v>37</v>
      </c>
      <c r="S15" s="6" t="s">
        <v>37</v>
      </c>
      <c r="T15" s="6" t="s">
        <v>49</v>
      </c>
      <c r="U15" s="6" t="s">
        <v>36</v>
      </c>
      <c r="V15" s="6" t="s">
        <v>36</v>
      </c>
      <c r="W15" s="6" t="s">
        <v>49</v>
      </c>
      <c r="X15" s="6" t="s">
        <v>35</v>
      </c>
      <c r="Y15" s="6" t="s">
        <v>35</v>
      </c>
      <c r="Z15" s="6" t="s">
        <v>37</v>
      </c>
      <c r="AA15" s="6" t="s">
        <v>37</v>
      </c>
      <c r="AB15" s="6" t="s">
        <v>49</v>
      </c>
      <c r="AC15" s="6" t="s">
        <v>36</v>
      </c>
      <c r="AD15" s="6" t="s">
        <v>36</v>
      </c>
      <c r="AE15" s="6" t="s">
        <v>49</v>
      </c>
      <c r="AF15" s="6" t="s">
        <v>35</v>
      </c>
      <c r="AG15" s="9" t="s">
        <v>35</v>
      </c>
    </row>
    <row r="16" spans="1:35" x14ac:dyDescent="0.25">
      <c r="B16" s="22" t="s">
        <v>62</v>
      </c>
      <c r="C16" s="6" t="s">
        <v>37</v>
      </c>
      <c r="D16" s="6" t="s">
        <v>49</v>
      </c>
      <c r="E16" s="6" t="s">
        <v>36</v>
      </c>
      <c r="F16" s="6" t="s">
        <v>36</v>
      </c>
      <c r="G16" s="6" t="s">
        <v>49</v>
      </c>
      <c r="H16" s="6" t="s">
        <v>35</v>
      </c>
      <c r="I16" s="6" t="s">
        <v>35</v>
      </c>
      <c r="J16" s="6" t="s">
        <v>37</v>
      </c>
      <c r="K16" s="6" t="s">
        <v>37</v>
      </c>
      <c r="L16" s="6" t="s">
        <v>49</v>
      </c>
      <c r="M16" s="6" t="s">
        <v>36</v>
      </c>
      <c r="N16" s="6" t="s">
        <v>36</v>
      </c>
      <c r="O16" s="6" t="s">
        <v>49</v>
      </c>
      <c r="P16" s="6" t="s">
        <v>35</v>
      </c>
      <c r="Q16" s="6" t="s">
        <v>35</v>
      </c>
      <c r="R16" s="6" t="s">
        <v>37</v>
      </c>
      <c r="S16" s="6" t="s">
        <v>37</v>
      </c>
      <c r="T16" s="6" t="s">
        <v>49</v>
      </c>
      <c r="U16" s="6" t="s">
        <v>36</v>
      </c>
      <c r="V16" s="6" t="s">
        <v>36</v>
      </c>
      <c r="W16" s="6" t="s">
        <v>49</v>
      </c>
      <c r="X16" s="6" t="s">
        <v>35</v>
      </c>
      <c r="Y16" s="6" t="s">
        <v>35</v>
      </c>
      <c r="Z16" s="6" t="s">
        <v>37</v>
      </c>
      <c r="AA16" s="6" t="s">
        <v>37</v>
      </c>
      <c r="AB16" s="6" t="s">
        <v>49</v>
      </c>
      <c r="AC16" s="6" t="s">
        <v>36</v>
      </c>
      <c r="AD16" s="6" t="s">
        <v>36</v>
      </c>
      <c r="AE16" s="6" t="s">
        <v>49</v>
      </c>
      <c r="AF16" s="6" t="s">
        <v>35</v>
      </c>
      <c r="AG16" s="9" t="s">
        <v>35</v>
      </c>
    </row>
    <row r="17" spans="1:33" x14ac:dyDescent="0.25">
      <c r="B17" s="22" t="s">
        <v>63</v>
      </c>
      <c r="C17" s="6" t="s">
        <v>35</v>
      </c>
      <c r="D17" s="6" t="s">
        <v>37</v>
      </c>
      <c r="E17" s="6" t="s">
        <v>37</v>
      </c>
      <c r="F17" s="6" t="s">
        <v>49</v>
      </c>
      <c r="G17" s="6" t="s">
        <v>36</v>
      </c>
      <c r="H17" s="6" t="s">
        <v>36</v>
      </c>
      <c r="I17" s="6" t="s">
        <v>49</v>
      </c>
      <c r="J17" s="6" t="s">
        <v>35</v>
      </c>
      <c r="K17" s="6" t="s">
        <v>35</v>
      </c>
      <c r="L17" s="6" t="s">
        <v>37</v>
      </c>
      <c r="M17" s="6" t="s">
        <v>37</v>
      </c>
      <c r="N17" s="6" t="s">
        <v>49</v>
      </c>
      <c r="O17" s="6" t="s">
        <v>36</v>
      </c>
      <c r="P17" s="6" t="s">
        <v>36</v>
      </c>
      <c r="Q17" s="6" t="s">
        <v>49</v>
      </c>
      <c r="R17" s="6" t="s">
        <v>35</v>
      </c>
      <c r="S17" s="6" t="s">
        <v>35</v>
      </c>
      <c r="T17" s="6" t="s">
        <v>37</v>
      </c>
      <c r="U17" s="6" t="s">
        <v>37</v>
      </c>
      <c r="V17" s="6" t="s">
        <v>49</v>
      </c>
      <c r="W17" s="6" t="s">
        <v>36</v>
      </c>
      <c r="X17" s="6" t="s">
        <v>36</v>
      </c>
      <c r="Y17" s="6" t="s">
        <v>49</v>
      </c>
      <c r="Z17" s="6" t="s">
        <v>35</v>
      </c>
      <c r="AA17" s="6" t="s">
        <v>35</v>
      </c>
      <c r="AB17" s="6" t="s">
        <v>37</v>
      </c>
      <c r="AC17" s="6" t="s">
        <v>37</v>
      </c>
      <c r="AD17" s="6" t="s">
        <v>49</v>
      </c>
      <c r="AE17" s="6" t="s">
        <v>36</v>
      </c>
      <c r="AF17" s="6" t="s">
        <v>36</v>
      </c>
      <c r="AG17" s="9" t="s">
        <v>49</v>
      </c>
    </row>
    <row r="18" spans="1:33" x14ac:dyDescent="0.25">
      <c r="B18" s="22" t="s">
        <v>64</v>
      </c>
      <c r="C18" s="6" t="s">
        <v>35</v>
      </c>
      <c r="D18" s="6" t="s">
        <v>37</v>
      </c>
      <c r="E18" s="6" t="s">
        <v>37</v>
      </c>
      <c r="F18" s="6" t="s">
        <v>49</v>
      </c>
      <c r="G18" s="6" t="s">
        <v>36</v>
      </c>
      <c r="H18" s="6" t="s">
        <v>36</v>
      </c>
      <c r="I18" s="6" t="s">
        <v>49</v>
      </c>
      <c r="J18" s="6" t="s">
        <v>35</v>
      </c>
      <c r="K18" s="6" t="s">
        <v>35</v>
      </c>
      <c r="L18" s="6" t="s">
        <v>37</v>
      </c>
      <c r="M18" s="6" t="s">
        <v>37</v>
      </c>
      <c r="N18" s="6" t="s">
        <v>49</v>
      </c>
      <c r="O18" s="6" t="s">
        <v>36</v>
      </c>
      <c r="P18" s="6" t="s">
        <v>36</v>
      </c>
      <c r="Q18" s="6" t="s">
        <v>49</v>
      </c>
      <c r="R18" s="6" t="s">
        <v>35</v>
      </c>
      <c r="S18" s="6" t="s">
        <v>35</v>
      </c>
      <c r="T18" s="6" t="s">
        <v>37</v>
      </c>
      <c r="U18" s="6" t="s">
        <v>37</v>
      </c>
      <c r="V18" s="6" t="s">
        <v>49</v>
      </c>
      <c r="W18" s="6" t="s">
        <v>36</v>
      </c>
      <c r="X18" s="6" t="s">
        <v>36</v>
      </c>
      <c r="Y18" s="6" t="s">
        <v>49</v>
      </c>
      <c r="Z18" s="6" t="s">
        <v>35</v>
      </c>
      <c r="AA18" s="6" t="s">
        <v>35</v>
      </c>
      <c r="AB18" s="6" t="s">
        <v>37</v>
      </c>
      <c r="AC18" s="6" t="s">
        <v>37</v>
      </c>
      <c r="AD18" s="6" t="s">
        <v>49</v>
      </c>
      <c r="AE18" s="6" t="s">
        <v>36</v>
      </c>
      <c r="AF18" s="6" t="s">
        <v>36</v>
      </c>
      <c r="AG18" s="9" t="s">
        <v>49</v>
      </c>
    </row>
    <row r="19" spans="1:33" x14ac:dyDescent="0.25">
      <c r="B19" s="22" t="s">
        <v>65</v>
      </c>
      <c r="C19" s="6" t="s">
        <v>35</v>
      </c>
      <c r="D19" s="6" t="s">
        <v>37</v>
      </c>
      <c r="E19" s="6" t="s">
        <v>37</v>
      </c>
      <c r="F19" s="6" t="s">
        <v>49</v>
      </c>
      <c r="G19" s="6" t="s">
        <v>36</v>
      </c>
      <c r="H19" s="6" t="s">
        <v>36</v>
      </c>
      <c r="I19" s="6" t="s">
        <v>49</v>
      </c>
      <c r="J19" s="6" t="s">
        <v>35</v>
      </c>
      <c r="K19" s="6" t="s">
        <v>35</v>
      </c>
      <c r="L19" s="6" t="s">
        <v>37</v>
      </c>
      <c r="M19" s="6" t="s">
        <v>37</v>
      </c>
      <c r="N19" s="6" t="s">
        <v>49</v>
      </c>
      <c r="O19" s="6" t="s">
        <v>36</v>
      </c>
      <c r="P19" s="6" t="s">
        <v>36</v>
      </c>
      <c r="Q19" s="6" t="s">
        <v>49</v>
      </c>
      <c r="R19" s="6" t="s">
        <v>35</v>
      </c>
      <c r="S19" s="6" t="s">
        <v>35</v>
      </c>
      <c r="T19" s="6" t="s">
        <v>37</v>
      </c>
      <c r="U19" s="6" t="s">
        <v>37</v>
      </c>
      <c r="V19" s="6" t="s">
        <v>49</v>
      </c>
      <c r="W19" s="6" t="s">
        <v>36</v>
      </c>
      <c r="X19" s="6" t="s">
        <v>36</v>
      </c>
      <c r="Y19" s="6" t="s">
        <v>49</v>
      </c>
      <c r="Z19" s="6" t="s">
        <v>35</v>
      </c>
      <c r="AA19" s="6" t="s">
        <v>35</v>
      </c>
      <c r="AB19" s="6" t="s">
        <v>37</v>
      </c>
      <c r="AC19" s="6" t="s">
        <v>37</v>
      </c>
      <c r="AD19" s="6" t="s">
        <v>49</v>
      </c>
      <c r="AE19" s="6" t="s">
        <v>36</v>
      </c>
      <c r="AF19" s="6" t="s">
        <v>36</v>
      </c>
      <c r="AG19" s="9" t="s">
        <v>49</v>
      </c>
    </row>
    <row r="20" spans="1:33" x14ac:dyDescent="0.25">
      <c r="B20" s="22" t="s">
        <v>66</v>
      </c>
      <c r="C20" s="6" t="s">
        <v>35</v>
      </c>
      <c r="D20" s="6" t="s">
        <v>37</v>
      </c>
      <c r="E20" s="6" t="s">
        <v>37</v>
      </c>
      <c r="F20" s="6" t="s">
        <v>49</v>
      </c>
      <c r="G20" s="6" t="s">
        <v>36</v>
      </c>
      <c r="H20" s="6" t="s">
        <v>36</v>
      </c>
      <c r="I20" s="6" t="s">
        <v>49</v>
      </c>
      <c r="J20" s="6" t="s">
        <v>35</v>
      </c>
      <c r="K20" s="6" t="s">
        <v>35</v>
      </c>
      <c r="L20" s="6" t="s">
        <v>37</v>
      </c>
      <c r="M20" s="6" t="s">
        <v>37</v>
      </c>
      <c r="N20" s="6" t="s">
        <v>49</v>
      </c>
      <c r="O20" s="6" t="s">
        <v>36</v>
      </c>
      <c r="P20" s="6" t="s">
        <v>36</v>
      </c>
      <c r="Q20" s="6" t="s">
        <v>49</v>
      </c>
      <c r="R20" s="6" t="s">
        <v>35</v>
      </c>
      <c r="S20" s="6" t="s">
        <v>35</v>
      </c>
      <c r="T20" s="6" t="s">
        <v>37</v>
      </c>
      <c r="U20" s="6" t="s">
        <v>37</v>
      </c>
      <c r="V20" s="6" t="s">
        <v>49</v>
      </c>
      <c r="W20" s="6" t="s">
        <v>36</v>
      </c>
      <c r="X20" s="6" t="s">
        <v>36</v>
      </c>
      <c r="Y20" s="6" t="s">
        <v>49</v>
      </c>
      <c r="Z20" s="6" t="s">
        <v>35</v>
      </c>
      <c r="AA20" s="6" t="s">
        <v>35</v>
      </c>
      <c r="AB20" s="6" t="s">
        <v>37</v>
      </c>
      <c r="AC20" s="6" t="s">
        <v>37</v>
      </c>
      <c r="AD20" s="6" t="s">
        <v>49</v>
      </c>
      <c r="AE20" s="6" t="s">
        <v>36</v>
      </c>
      <c r="AF20" s="6" t="s">
        <v>36</v>
      </c>
      <c r="AG20" s="9" t="s">
        <v>49</v>
      </c>
    </row>
    <row r="21" spans="1:33" x14ac:dyDescent="0.25">
      <c r="B21" s="23" t="s">
        <v>67</v>
      </c>
      <c r="C21" s="10" t="s">
        <v>35</v>
      </c>
      <c r="D21" s="10" t="s">
        <v>37</v>
      </c>
      <c r="E21" s="10" t="s">
        <v>37</v>
      </c>
      <c r="F21" s="10" t="s">
        <v>49</v>
      </c>
      <c r="G21" s="10" t="s">
        <v>36</v>
      </c>
      <c r="H21" s="10" t="s">
        <v>36</v>
      </c>
      <c r="I21" s="10" t="s">
        <v>49</v>
      </c>
      <c r="J21" s="10" t="s">
        <v>35</v>
      </c>
      <c r="K21" s="10" t="s">
        <v>35</v>
      </c>
      <c r="L21" s="10" t="s">
        <v>37</v>
      </c>
      <c r="M21" s="10" t="s">
        <v>37</v>
      </c>
      <c r="N21" s="10" t="s">
        <v>49</v>
      </c>
      <c r="O21" s="10" t="s">
        <v>36</v>
      </c>
      <c r="P21" s="10" t="s">
        <v>36</v>
      </c>
      <c r="Q21" s="10" t="s">
        <v>49</v>
      </c>
      <c r="R21" s="10" t="s">
        <v>35</v>
      </c>
      <c r="S21" s="10" t="s">
        <v>35</v>
      </c>
      <c r="T21" s="10" t="s">
        <v>37</v>
      </c>
      <c r="U21" s="10" t="s">
        <v>37</v>
      </c>
      <c r="V21" s="10" t="s">
        <v>49</v>
      </c>
      <c r="W21" s="10" t="s">
        <v>36</v>
      </c>
      <c r="X21" s="10" t="s">
        <v>36</v>
      </c>
      <c r="Y21" s="10" t="s">
        <v>49</v>
      </c>
      <c r="Z21" s="10" t="s">
        <v>35</v>
      </c>
      <c r="AA21" s="10" t="s">
        <v>35</v>
      </c>
      <c r="AB21" s="10" t="s">
        <v>37</v>
      </c>
      <c r="AC21" s="10" t="s">
        <v>37</v>
      </c>
      <c r="AD21" s="10" t="s">
        <v>49</v>
      </c>
      <c r="AE21" s="10" t="s">
        <v>36</v>
      </c>
      <c r="AF21" s="10" t="s">
        <v>36</v>
      </c>
      <c r="AG21" s="11" t="s">
        <v>49</v>
      </c>
    </row>
    <row r="23" spans="1:33" x14ac:dyDescent="0.25">
      <c r="A23" s="1" t="s">
        <v>82</v>
      </c>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row>
    <row r="24" spans="1:33" x14ac:dyDescent="0.25">
      <c r="B24" s="19"/>
      <c r="C24" s="20" t="s">
        <v>3</v>
      </c>
      <c r="D24" s="20" t="s">
        <v>4</v>
      </c>
      <c r="E24" s="20" t="s">
        <v>5</v>
      </c>
      <c r="F24" s="20" t="s">
        <v>6</v>
      </c>
      <c r="G24" s="20" t="s">
        <v>7</v>
      </c>
      <c r="H24" s="20" t="s">
        <v>8</v>
      </c>
      <c r="I24" s="20" t="s">
        <v>9</v>
      </c>
      <c r="J24" s="20" t="s">
        <v>10</v>
      </c>
      <c r="K24" s="20" t="s">
        <v>11</v>
      </c>
      <c r="L24" s="20" t="s">
        <v>12</v>
      </c>
      <c r="M24" s="20" t="s">
        <v>13</v>
      </c>
      <c r="N24" s="20" t="s">
        <v>14</v>
      </c>
      <c r="O24" s="20" t="s">
        <v>15</v>
      </c>
      <c r="P24" s="20" t="s">
        <v>16</v>
      </c>
      <c r="Q24" s="20" t="s">
        <v>17</v>
      </c>
      <c r="R24" s="20" t="s">
        <v>18</v>
      </c>
      <c r="S24" s="20" t="s">
        <v>19</v>
      </c>
      <c r="T24" s="20" t="s">
        <v>20</v>
      </c>
      <c r="U24" s="20" t="s">
        <v>21</v>
      </c>
      <c r="V24" s="20" t="s">
        <v>22</v>
      </c>
      <c r="W24" s="20" t="s">
        <v>23</v>
      </c>
      <c r="X24" s="20" t="s">
        <v>24</v>
      </c>
      <c r="Y24" s="20" t="s">
        <v>25</v>
      </c>
      <c r="Z24" s="20" t="s">
        <v>26</v>
      </c>
      <c r="AA24" s="20" t="s">
        <v>27</v>
      </c>
      <c r="AB24" s="20" t="s">
        <v>28</v>
      </c>
      <c r="AC24" s="20" t="s">
        <v>29</v>
      </c>
      <c r="AD24" s="20" t="s">
        <v>30</v>
      </c>
      <c r="AE24" s="20" t="s">
        <v>31</v>
      </c>
      <c r="AF24" s="20" t="s">
        <v>32</v>
      </c>
    </row>
    <row r="25" spans="1:33" x14ac:dyDescent="0.25">
      <c r="B25" s="22" t="s">
        <v>48</v>
      </c>
      <c r="C25" s="6" t="s">
        <v>79</v>
      </c>
      <c r="D25" s="6" t="s">
        <v>80</v>
      </c>
      <c r="E25" s="6" t="s">
        <v>80</v>
      </c>
      <c r="F25" s="6" t="s">
        <v>49</v>
      </c>
      <c r="G25" s="6" t="s">
        <v>81</v>
      </c>
      <c r="H25" s="6" t="s">
        <v>81</v>
      </c>
      <c r="I25" s="6" t="s">
        <v>49</v>
      </c>
      <c r="J25" s="6" t="s">
        <v>79</v>
      </c>
      <c r="K25" s="6" t="s">
        <v>79</v>
      </c>
      <c r="L25" s="6" t="s">
        <v>80</v>
      </c>
      <c r="M25" s="6" t="s">
        <v>80</v>
      </c>
      <c r="N25" s="6" t="s">
        <v>49</v>
      </c>
      <c r="O25" s="6" t="s">
        <v>81</v>
      </c>
      <c r="P25" s="6" t="s">
        <v>81</v>
      </c>
      <c r="Q25" s="6" t="s">
        <v>49</v>
      </c>
      <c r="R25" s="6" t="s">
        <v>79</v>
      </c>
      <c r="S25" s="6" t="s">
        <v>79</v>
      </c>
      <c r="T25" s="6" t="s">
        <v>80</v>
      </c>
      <c r="U25" s="6" t="s">
        <v>80</v>
      </c>
      <c r="V25" s="6" t="s">
        <v>49</v>
      </c>
      <c r="W25" s="6" t="s">
        <v>81</v>
      </c>
      <c r="X25" s="6" t="s">
        <v>81</v>
      </c>
      <c r="Y25" s="6" t="s">
        <v>49</v>
      </c>
      <c r="Z25" s="6" t="s">
        <v>79</v>
      </c>
      <c r="AA25" s="6" t="s">
        <v>79</v>
      </c>
      <c r="AB25" s="6" t="s">
        <v>80</v>
      </c>
      <c r="AC25" s="6" t="s">
        <v>80</v>
      </c>
      <c r="AD25" s="6" t="s">
        <v>49</v>
      </c>
      <c r="AE25" s="6" t="s">
        <v>81</v>
      </c>
      <c r="AF25" s="6" t="s">
        <v>81</v>
      </c>
    </row>
    <row r="26" spans="1:33" x14ac:dyDescent="0.25">
      <c r="B26" s="22" t="s">
        <v>50</v>
      </c>
      <c r="C26" s="6" t="s">
        <v>70</v>
      </c>
      <c r="D26" s="6" t="s">
        <v>71</v>
      </c>
      <c r="E26" s="6" t="s">
        <v>71</v>
      </c>
      <c r="F26" s="6" t="s">
        <v>49</v>
      </c>
      <c r="G26" s="6" t="s">
        <v>72</v>
      </c>
      <c r="H26" s="6" t="s">
        <v>72</v>
      </c>
      <c r="I26" s="6" t="s">
        <v>49</v>
      </c>
      <c r="J26" s="6" t="s">
        <v>70</v>
      </c>
      <c r="K26" s="6" t="s">
        <v>70</v>
      </c>
      <c r="L26" s="6" t="s">
        <v>71</v>
      </c>
      <c r="M26" s="6" t="s">
        <v>71</v>
      </c>
      <c r="N26" s="6" t="s">
        <v>49</v>
      </c>
      <c r="O26" s="6" t="s">
        <v>72</v>
      </c>
      <c r="P26" s="6" t="s">
        <v>72</v>
      </c>
      <c r="Q26" s="6" t="s">
        <v>49</v>
      </c>
      <c r="R26" s="6" t="s">
        <v>70</v>
      </c>
      <c r="S26" s="6" t="s">
        <v>70</v>
      </c>
      <c r="T26" s="6" t="s">
        <v>71</v>
      </c>
      <c r="U26" s="6" t="s">
        <v>71</v>
      </c>
      <c r="V26" s="6" t="s">
        <v>49</v>
      </c>
      <c r="W26" s="6" t="s">
        <v>72</v>
      </c>
      <c r="X26" s="6" t="s">
        <v>72</v>
      </c>
      <c r="Y26" s="6" t="s">
        <v>49</v>
      </c>
      <c r="Z26" s="6" t="s">
        <v>70</v>
      </c>
      <c r="AA26" s="6" t="s">
        <v>70</v>
      </c>
      <c r="AB26" s="6" t="s">
        <v>71</v>
      </c>
      <c r="AC26" s="6" t="s">
        <v>71</v>
      </c>
      <c r="AD26" s="6" t="s">
        <v>49</v>
      </c>
      <c r="AE26" s="6" t="s">
        <v>72</v>
      </c>
      <c r="AF26" s="6" t="s">
        <v>72</v>
      </c>
    </row>
    <row r="27" spans="1:33" x14ac:dyDescent="0.25">
      <c r="B27" s="22" t="s">
        <v>51</v>
      </c>
      <c r="C27" s="6" t="s">
        <v>73</v>
      </c>
      <c r="D27" s="6" t="s">
        <v>74</v>
      </c>
      <c r="E27" s="6" t="s">
        <v>74</v>
      </c>
      <c r="F27" s="6" t="s">
        <v>49</v>
      </c>
      <c r="G27" s="6" t="s">
        <v>75</v>
      </c>
      <c r="H27" s="6" t="s">
        <v>75</v>
      </c>
      <c r="I27" s="6" t="s">
        <v>49</v>
      </c>
      <c r="J27" s="6" t="s">
        <v>73</v>
      </c>
      <c r="K27" s="6" t="s">
        <v>73</v>
      </c>
      <c r="L27" s="6" t="s">
        <v>74</v>
      </c>
      <c r="M27" s="6" t="s">
        <v>74</v>
      </c>
      <c r="N27" s="6" t="s">
        <v>49</v>
      </c>
      <c r="O27" s="6" t="s">
        <v>75</v>
      </c>
      <c r="P27" s="6" t="s">
        <v>75</v>
      </c>
      <c r="Q27" s="6" t="s">
        <v>49</v>
      </c>
      <c r="R27" s="6" t="s">
        <v>73</v>
      </c>
      <c r="S27" s="6" t="s">
        <v>73</v>
      </c>
      <c r="T27" s="6" t="s">
        <v>74</v>
      </c>
      <c r="U27" s="6" t="s">
        <v>74</v>
      </c>
      <c r="V27" s="6" t="s">
        <v>49</v>
      </c>
      <c r="W27" s="6" t="s">
        <v>75</v>
      </c>
      <c r="X27" s="6" t="s">
        <v>75</v>
      </c>
      <c r="Y27" s="6" t="s">
        <v>49</v>
      </c>
      <c r="Z27" s="6" t="s">
        <v>73</v>
      </c>
      <c r="AA27" s="6" t="s">
        <v>73</v>
      </c>
      <c r="AB27" s="6" t="s">
        <v>74</v>
      </c>
      <c r="AC27" s="6" t="s">
        <v>74</v>
      </c>
      <c r="AD27" s="6" t="s">
        <v>49</v>
      </c>
      <c r="AE27" s="6" t="s">
        <v>75</v>
      </c>
      <c r="AF27" s="6" t="s">
        <v>75</v>
      </c>
    </row>
    <row r="28" spans="1:33" x14ac:dyDescent="0.25">
      <c r="B28" s="22" t="s">
        <v>52</v>
      </c>
      <c r="C28" s="6" t="s">
        <v>79</v>
      </c>
      <c r="D28" s="6" t="s">
        <v>80</v>
      </c>
      <c r="E28" s="6" t="s">
        <v>80</v>
      </c>
      <c r="F28" s="6" t="s">
        <v>49</v>
      </c>
      <c r="G28" s="6" t="s">
        <v>81</v>
      </c>
      <c r="H28" s="6" t="s">
        <v>81</v>
      </c>
      <c r="I28" s="6" t="s">
        <v>49</v>
      </c>
      <c r="J28" s="6" t="s">
        <v>79</v>
      </c>
      <c r="K28" s="6" t="s">
        <v>79</v>
      </c>
      <c r="L28" s="6" t="s">
        <v>80</v>
      </c>
      <c r="M28" s="6" t="s">
        <v>80</v>
      </c>
      <c r="N28" s="6" t="s">
        <v>49</v>
      </c>
      <c r="O28" s="6" t="s">
        <v>81</v>
      </c>
      <c r="P28" s="6" t="s">
        <v>81</v>
      </c>
      <c r="Q28" s="6" t="s">
        <v>49</v>
      </c>
      <c r="R28" s="6" t="s">
        <v>79</v>
      </c>
      <c r="S28" s="6" t="s">
        <v>79</v>
      </c>
      <c r="T28" s="6" t="s">
        <v>80</v>
      </c>
      <c r="U28" s="6" t="s">
        <v>80</v>
      </c>
      <c r="V28" s="6" t="s">
        <v>49</v>
      </c>
      <c r="W28" s="6" t="s">
        <v>81</v>
      </c>
      <c r="X28" s="6" t="s">
        <v>81</v>
      </c>
      <c r="Y28" s="6" t="s">
        <v>49</v>
      </c>
      <c r="Z28" s="6" t="s">
        <v>79</v>
      </c>
      <c r="AA28" s="6" t="s">
        <v>79</v>
      </c>
      <c r="AB28" s="6" t="s">
        <v>80</v>
      </c>
      <c r="AC28" s="6" t="s">
        <v>80</v>
      </c>
      <c r="AD28" s="6" t="s">
        <v>49</v>
      </c>
      <c r="AE28" s="6" t="s">
        <v>81</v>
      </c>
      <c r="AF28" s="6" t="s">
        <v>81</v>
      </c>
    </row>
    <row r="29" spans="1:33" x14ac:dyDescent="0.25">
      <c r="B29" s="22" t="s">
        <v>53</v>
      </c>
      <c r="C29" s="6" t="s">
        <v>76</v>
      </c>
      <c r="D29" s="6" t="s">
        <v>77</v>
      </c>
      <c r="E29" s="6" t="s">
        <v>77</v>
      </c>
      <c r="F29" s="6" t="s">
        <v>49</v>
      </c>
      <c r="G29" s="6" t="s">
        <v>78</v>
      </c>
      <c r="H29" s="6" t="s">
        <v>78</v>
      </c>
      <c r="I29" s="6" t="s">
        <v>49</v>
      </c>
      <c r="J29" s="6" t="s">
        <v>76</v>
      </c>
      <c r="K29" s="6" t="s">
        <v>76</v>
      </c>
      <c r="L29" s="6" t="s">
        <v>77</v>
      </c>
      <c r="M29" s="6" t="s">
        <v>77</v>
      </c>
      <c r="N29" s="6" t="s">
        <v>49</v>
      </c>
      <c r="O29" s="6" t="s">
        <v>78</v>
      </c>
      <c r="P29" s="6" t="s">
        <v>78</v>
      </c>
      <c r="Q29" s="6" t="s">
        <v>49</v>
      </c>
      <c r="R29" s="6" t="s">
        <v>76</v>
      </c>
      <c r="S29" s="6" t="s">
        <v>76</v>
      </c>
      <c r="T29" s="6" t="s">
        <v>77</v>
      </c>
      <c r="U29" s="6" t="s">
        <v>77</v>
      </c>
      <c r="V29" s="6" t="s">
        <v>49</v>
      </c>
      <c r="W29" s="6" t="s">
        <v>78</v>
      </c>
      <c r="X29" s="6" t="s">
        <v>78</v>
      </c>
      <c r="Y29" s="6" t="s">
        <v>49</v>
      </c>
      <c r="Z29" s="6" t="s">
        <v>76</v>
      </c>
      <c r="AA29" s="6" t="s">
        <v>76</v>
      </c>
      <c r="AB29" s="6" t="s">
        <v>77</v>
      </c>
      <c r="AC29" s="6" t="s">
        <v>77</v>
      </c>
      <c r="AD29" s="6" t="s">
        <v>49</v>
      </c>
      <c r="AE29" s="6" t="s">
        <v>78</v>
      </c>
      <c r="AF29" s="6" t="s">
        <v>78</v>
      </c>
    </row>
    <row r="30" spans="1:33" x14ac:dyDescent="0.25">
      <c r="B30" s="22" t="s">
        <v>54</v>
      </c>
      <c r="C30" s="6" t="s">
        <v>49</v>
      </c>
      <c r="D30" s="6" t="s">
        <v>79</v>
      </c>
      <c r="E30" s="6" t="s">
        <v>79</v>
      </c>
      <c r="F30" s="6" t="s">
        <v>80</v>
      </c>
      <c r="G30" s="6" t="s">
        <v>80</v>
      </c>
      <c r="H30" s="6" t="s">
        <v>49</v>
      </c>
      <c r="I30" s="6" t="s">
        <v>81</v>
      </c>
      <c r="J30" s="6" t="s">
        <v>81</v>
      </c>
      <c r="K30" s="6" t="s">
        <v>49</v>
      </c>
      <c r="L30" s="6" t="s">
        <v>79</v>
      </c>
      <c r="M30" s="6" t="s">
        <v>79</v>
      </c>
      <c r="N30" s="6" t="s">
        <v>80</v>
      </c>
      <c r="O30" s="6" t="s">
        <v>80</v>
      </c>
      <c r="P30" s="6" t="s">
        <v>49</v>
      </c>
      <c r="Q30" s="6" t="s">
        <v>81</v>
      </c>
      <c r="R30" s="6" t="s">
        <v>81</v>
      </c>
      <c r="S30" s="6" t="s">
        <v>49</v>
      </c>
      <c r="T30" s="6" t="s">
        <v>79</v>
      </c>
      <c r="U30" s="6" t="s">
        <v>79</v>
      </c>
      <c r="V30" s="6" t="s">
        <v>80</v>
      </c>
      <c r="W30" s="6" t="s">
        <v>80</v>
      </c>
      <c r="X30" s="6" t="s">
        <v>49</v>
      </c>
      <c r="Y30" s="6" t="s">
        <v>81</v>
      </c>
      <c r="Z30" s="6" t="s">
        <v>81</v>
      </c>
      <c r="AA30" s="6" t="s">
        <v>49</v>
      </c>
      <c r="AB30" s="6" t="s">
        <v>79</v>
      </c>
      <c r="AC30" s="6" t="s">
        <v>79</v>
      </c>
      <c r="AD30" s="6" t="s">
        <v>80</v>
      </c>
      <c r="AE30" s="6" t="s">
        <v>80</v>
      </c>
      <c r="AF30" s="6" t="s">
        <v>49</v>
      </c>
    </row>
    <row r="31" spans="1:33" x14ac:dyDescent="0.25">
      <c r="B31" s="22" t="s">
        <v>55</v>
      </c>
      <c r="C31" s="6" t="s">
        <v>49</v>
      </c>
      <c r="D31" s="6" t="s">
        <v>76</v>
      </c>
      <c r="E31" s="6" t="s">
        <v>76</v>
      </c>
      <c r="F31" s="6" t="s">
        <v>77</v>
      </c>
      <c r="G31" s="6" t="s">
        <v>77</v>
      </c>
      <c r="H31" s="6" t="s">
        <v>49</v>
      </c>
      <c r="I31" s="6" t="s">
        <v>78</v>
      </c>
      <c r="J31" s="6" t="s">
        <v>78</v>
      </c>
      <c r="K31" s="6" t="s">
        <v>49</v>
      </c>
      <c r="L31" s="6" t="s">
        <v>76</v>
      </c>
      <c r="M31" s="6" t="s">
        <v>76</v>
      </c>
      <c r="N31" s="6" t="s">
        <v>77</v>
      </c>
      <c r="O31" s="6" t="s">
        <v>77</v>
      </c>
      <c r="P31" s="6" t="s">
        <v>49</v>
      </c>
      <c r="Q31" s="6" t="s">
        <v>78</v>
      </c>
      <c r="R31" s="6" t="s">
        <v>78</v>
      </c>
      <c r="S31" s="6" t="s">
        <v>49</v>
      </c>
      <c r="T31" s="6" t="s">
        <v>76</v>
      </c>
      <c r="U31" s="6" t="s">
        <v>76</v>
      </c>
      <c r="V31" s="6" t="s">
        <v>77</v>
      </c>
      <c r="W31" s="6" t="s">
        <v>77</v>
      </c>
      <c r="X31" s="6" t="s">
        <v>49</v>
      </c>
      <c r="Y31" s="6" t="s">
        <v>78</v>
      </c>
      <c r="Z31" s="6" t="s">
        <v>78</v>
      </c>
      <c r="AA31" s="6" t="s">
        <v>49</v>
      </c>
      <c r="AB31" s="6" t="s">
        <v>76</v>
      </c>
      <c r="AC31" s="6" t="s">
        <v>76</v>
      </c>
      <c r="AD31" s="6" t="s">
        <v>77</v>
      </c>
      <c r="AE31" s="6" t="s">
        <v>77</v>
      </c>
      <c r="AF31" s="6" t="s">
        <v>49</v>
      </c>
    </row>
    <row r="32" spans="1:33" x14ac:dyDescent="0.25">
      <c r="B32" s="22" t="s">
        <v>56</v>
      </c>
      <c r="C32" s="6" t="s">
        <v>49</v>
      </c>
      <c r="D32" s="6" t="s">
        <v>70</v>
      </c>
      <c r="E32" s="6" t="s">
        <v>70</v>
      </c>
      <c r="F32" s="6" t="s">
        <v>71</v>
      </c>
      <c r="G32" s="6" t="s">
        <v>71</v>
      </c>
      <c r="H32" s="6" t="s">
        <v>49</v>
      </c>
      <c r="I32" s="6" t="s">
        <v>72</v>
      </c>
      <c r="J32" s="6" t="s">
        <v>72</v>
      </c>
      <c r="K32" s="6" t="s">
        <v>49</v>
      </c>
      <c r="L32" s="6" t="s">
        <v>70</v>
      </c>
      <c r="M32" s="6" t="s">
        <v>70</v>
      </c>
      <c r="N32" s="6" t="s">
        <v>71</v>
      </c>
      <c r="O32" s="6" t="s">
        <v>71</v>
      </c>
      <c r="P32" s="6" t="s">
        <v>49</v>
      </c>
      <c r="Q32" s="6" t="s">
        <v>72</v>
      </c>
      <c r="R32" s="6" t="s">
        <v>72</v>
      </c>
      <c r="S32" s="6" t="s">
        <v>49</v>
      </c>
      <c r="T32" s="6" t="s">
        <v>70</v>
      </c>
      <c r="U32" s="6" t="s">
        <v>70</v>
      </c>
      <c r="V32" s="6" t="s">
        <v>71</v>
      </c>
      <c r="W32" s="6" t="s">
        <v>71</v>
      </c>
      <c r="X32" s="6" t="s">
        <v>49</v>
      </c>
      <c r="Y32" s="6" t="s">
        <v>72</v>
      </c>
      <c r="Z32" s="6" t="s">
        <v>72</v>
      </c>
      <c r="AA32" s="6" t="s">
        <v>49</v>
      </c>
      <c r="AB32" s="6" t="s">
        <v>70</v>
      </c>
      <c r="AC32" s="6" t="s">
        <v>70</v>
      </c>
      <c r="AD32" s="6" t="s">
        <v>71</v>
      </c>
      <c r="AE32" s="6" t="s">
        <v>71</v>
      </c>
      <c r="AF32" s="6" t="s">
        <v>49</v>
      </c>
    </row>
    <row r="33" spans="1:33" x14ac:dyDescent="0.25">
      <c r="B33" s="22" t="s">
        <v>57</v>
      </c>
      <c r="C33" s="6" t="s">
        <v>49</v>
      </c>
      <c r="D33" s="6" t="s">
        <v>73</v>
      </c>
      <c r="E33" s="6" t="s">
        <v>73</v>
      </c>
      <c r="F33" s="6" t="s">
        <v>74</v>
      </c>
      <c r="G33" s="6" t="s">
        <v>74</v>
      </c>
      <c r="H33" s="6" t="s">
        <v>49</v>
      </c>
      <c r="I33" s="6" t="s">
        <v>75</v>
      </c>
      <c r="J33" s="6" t="s">
        <v>75</v>
      </c>
      <c r="K33" s="6" t="s">
        <v>49</v>
      </c>
      <c r="L33" s="6" t="s">
        <v>73</v>
      </c>
      <c r="M33" s="6" t="s">
        <v>73</v>
      </c>
      <c r="N33" s="6" t="s">
        <v>74</v>
      </c>
      <c r="O33" s="6" t="s">
        <v>74</v>
      </c>
      <c r="P33" s="6" t="s">
        <v>49</v>
      </c>
      <c r="Q33" s="6" t="s">
        <v>75</v>
      </c>
      <c r="R33" s="6" t="s">
        <v>75</v>
      </c>
      <c r="S33" s="6" t="s">
        <v>49</v>
      </c>
      <c r="T33" s="6" t="s">
        <v>73</v>
      </c>
      <c r="U33" s="6" t="s">
        <v>73</v>
      </c>
      <c r="V33" s="6" t="s">
        <v>74</v>
      </c>
      <c r="W33" s="6" t="s">
        <v>74</v>
      </c>
      <c r="X33" s="6" t="s">
        <v>49</v>
      </c>
      <c r="Y33" s="6" t="s">
        <v>75</v>
      </c>
      <c r="Z33" s="6" t="s">
        <v>75</v>
      </c>
      <c r="AA33" s="6" t="s">
        <v>49</v>
      </c>
      <c r="AB33" s="6" t="s">
        <v>73</v>
      </c>
      <c r="AC33" s="6" t="s">
        <v>73</v>
      </c>
      <c r="AD33" s="6" t="s">
        <v>74</v>
      </c>
      <c r="AE33" s="6" t="s">
        <v>74</v>
      </c>
      <c r="AF33" s="6" t="s">
        <v>49</v>
      </c>
    </row>
    <row r="34" spans="1:33" x14ac:dyDescent="0.25">
      <c r="B34" s="22" t="s">
        <v>58</v>
      </c>
      <c r="C34" s="6" t="s">
        <v>81</v>
      </c>
      <c r="D34" s="6" t="s">
        <v>81</v>
      </c>
      <c r="E34" s="6" t="s">
        <v>49</v>
      </c>
      <c r="F34" s="6" t="s">
        <v>79</v>
      </c>
      <c r="G34" s="6" t="s">
        <v>79</v>
      </c>
      <c r="H34" s="6" t="s">
        <v>80</v>
      </c>
      <c r="I34" s="6" t="s">
        <v>80</v>
      </c>
      <c r="J34" s="6" t="s">
        <v>49</v>
      </c>
      <c r="K34" s="6" t="s">
        <v>81</v>
      </c>
      <c r="L34" s="6" t="s">
        <v>81</v>
      </c>
      <c r="M34" s="6" t="s">
        <v>49</v>
      </c>
      <c r="N34" s="6" t="s">
        <v>79</v>
      </c>
      <c r="O34" s="6" t="s">
        <v>79</v>
      </c>
      <c r="P34" s="6" t="s">
        <v>80</v>
      </c>
      <c r="Q34" s="6" t="s">
        <v>80</v>
      </c>
      <c r="R34" s="6" t="s">
        <v>49</v>
      </c>
      <c r="S34" s="6" t="s">
        <v>81</v>
      </c>
      <c r="T34" s="6" t="s">
        <v>81</v>
      </c>
      <c r="U34" s="6" t="s">
        <v>49</v>
      </c>
      <c r="V34" s="6" t="s">
        <v>79</v>
      </c>
      <c r="W34" s="6" t="s">
        <v>79</v>
      </c>
      <c r="X34" s="6" t="s">
        <v>80</v>
      </c>
      <c r="Y34" s="6" t="s">
        <v>80</v>
      </c>
      <c r="Z34" s="6" t="s">
        <v>49</v>
      </c>
      <c r="AA34" s="6" t="s">
        <v>81</v>
      </c>
      <c r="AB34" s="6" t="s">
        <v>81</v>
      </c>
      <c r="AC34" s="6" t="s">
        <v>49</v>
      </c>
      <c r="AD34" s="6" t="s">
        <v>79</v>
      </c>
      <c r="AE34" s="6" t="s">
        <v>79</v>
      </c>
      <c r="AF34" s="6" t="s">
        <v>80</v>
      </c>
    </row>
    <row r="35" spans="1:33" x14ac:dyDescent="0.25">
      <c r="B35" s="22" t="s">
        <v>59</v>
      </c>
      <c r="C35" s="6" t="s">
        <v>78</v>
      </c>
      <c r="D35" s="6" t="s">
        <v>78</v>
      </c>
      <c r="E35" s="6" t="s">
        <v>49</v>
      </c>
      <c r="F35" s="6" t="s">
        <v>76</v>
      </c>
      <c r="G35" s="6" t="s">
        <v>76</v>
      </c>
      <c r="H35" s="6" t="s">
        <v>77</v>
      </c>
      <c r="I35" s="6" t="s">
        <v>77</v>
      </c>
      <c r="J35" s="6" t="s">
        <v>49</v>
      </c>
      <c r="K35" s="6" t="s">
        <v>78</v>
      </c>
      <c r="L35" s="6" t="s">
        <v>78</v>
      </c>
      <c r="M35" s="6" t="s">
        <v>49</v>
      </c>
      <c r="N35" s="6" t="s">
        <v>76</v>
      </c>
      <c r="O35" s="6" t="s">
        <v>76</v>
      </c>
      <c r="P35" s="6" t="s">
        <v>77</v>
      </c>
      <c r="Q35" s="6" t="s">
        <v>77</v>
      </c>
      <c r="R35" s="6" t="s">
        <v>49</v>
      </c>
      <c r="S35" s="6" t="s">
        <v>78</v>
      </c>
      <c r="T35" s="6" t="s">
        <v>78</v>
      </c>
      <c r="U35" s="6" t="s">
        <v>49</v>
      </c>
      <c r="V35" s="6" t="s">
        <v>76</v>
      </c>
      <c r="W35" s="6" t="s">
        <v>76</v>
      </c>
      <c r="X35" s="6" t="s">
        <v>77</v>
      </c>
      <c r="Y35" s="6" t="s">
        <v>77</v>
      </c>
      <c r="Z35" s="6" t="s">
        <v>49</v>
      </c>
      <c r="AA35" s="6" t="s">
        <v>78</v>
      </c>
      <c r="AB35" s="6" t="s">
        <v>78</v>
      </c>
      <c r="AC35" s="6" t="s">
        <v>49</v>
      </c>
      <c r="AD35" s="6" t="s">
        <v>76</v>
      </c>
      <c r="AE35" s="6" t="s">
        <v>76</v>
      </c>
      <c r="AF35" s="6" t="s">
        <v>77</v>
      </c>
    </row>
    <row r="36" spans="1:33" x14ac:dyDescent="0.25">
      <c r="B36" s="22" t="s">
        <v>60</v>
      </c>
      <c r="C36" s="6" t="s">
        <v>72</v>
      </c>
      <c r="D36" s="6" t="s">
        <v>72</v>
      </c>
      <c r="E36" s="6" t="s">
        <v>49</v>
      </c>
      <c r="F36" s="6" t="s">
        <v>70</v>
      </c>
      <c r="G36" s="6" t="s">
        <v>70</v>
      </c>
      <c r="H36" s="6" t="s">
        <v>71</v>
      </c>
      <c r="I36" s="6" t="s">
        <v>71</v>
      </c>
      <c r="J36" s="6" t="s">
        <v>49</v>
      </c>
      <c r="K36" s="6" t="s">
        <v>72</v>
      </c>
      <c r="L36" s="6" t="s">
        <v>72</v>
      </c>
      <c r="M36" s="6" t="s">
        <v>49</v>
      </c>
      <c r="N36" s="6" t="s">
        <v>70</v>
      </c>
      <c r="O36" s="6" t="s">
        <v>70</v>
      </c>
      <c r="P36" s="6" t="s">
        <v>71</v>
      </c>
      <c r="Q36" s="6" t="s">
        <v>71</v>
      </c>
      <c r="R36" s="6" t="s">
        <v>49</v>
      </c>
      <c r="S36" s="6" t="s">
        <v>72</v>
      </c>
      <c r="T36" s="6" t="s">
        <v>72</v>
      </c>
      <c r="U36" s="6" t="s">
        <v>49</v>
      </c>
      <c r="V36" s="6" t="s">
        <v>70</v>
      </c>
      <c r="W36" s="6" t="s">
        <v>70</v>
      </c>
      <c r="X36" s="6" t="s">
        <v>71</v>
      </c>
      <c r="Y36" s="6" t="s">
        <v>71</v>
      </c>
      <c r="Z36" s="6" t="s">
        <v>49</v>
      </c>
      <c r="AA36" s="6" t="s">
        <v>72</v>
      </c>
      <c r="AB36" s="6" t="s">
        <v>72</v>
      </c>
      <c r="AC36" s="6" t="s">
        <v>49</v>
      </c>
      <c r="AD36" s="6" t="s">
        <v>70</v>
      </c>
      <c r="AE36" s="6" t="s">
        <v>70</v>
      </c>
      <c r="AF36" s="6" t="s">
        <v>71</v>
      </c>
    </row>
    <row r="37" spans="1:33" x14ac:dyDescent="0.25">
      <c r="B37" s="22" t="s">
        <v>61</v>
      </c>
      <c r="C37" s="6" t="s">
        <v>75</v>
      </c>
      <c r="D37" s="6" t="s">
        <v>75</v>
      </c>
      <c r="E37" s="6" t="s">
        <v>49</v>
      </c>
      <c r="F37" s="6" t="s">
        <v>73</v>
      </c>
      <c r="G37" s="6" t="s">
        <v>73</v>
      </c>
      <c r="H37" s="6" t="s">
        <v>74</v>
      </c>
      <c r="I37" s="6" t="s">
        <v>74</v>
      </c>
      <c r="J37" s="6" t="s">
        <v>49</v>
      </c>
      <c r="K37" s="6" t="s">
        <v>75</v>
      </c>
      <c r="L37" s="6" t="s">
        <v>75</v>
      </c>
      <c r="M37" s="6" t="s">
        <v>49</v>
      </c>
      <c r="N37" s="6" t="s">
        <v>73</v>
      </c>
      <c r="O37" s="6" t="s">
        <v>73</v>
      </c>
      <c r="P37" s="6" t="s">
        <v>74</v>
      </c>
      <c r="Q37" s="6" t="s">
        <v>74</v>
      </c>
      <c r="R37" s="6" t="s">
        <v>49</v>
      </c>
      <c r="S37" s="6" t="s">
        <v>75</v>
      </c>
      <c r="T37" s="6" t="s">
        <v>75</v>
      </c>
      <c r="U37" s="6" t="s">
        <v>49</v>
      </c>
      <c r="V37" s="6" t="s">
        <v>73</v>
      </c>
      <c r="W37" s="6" t="s">
        <v>73</v>
      </c>
      <c r="X37" s="6" t="s">
        <v>74</v>
      </c>
      <c r="Y37" s="6" t="s">
        <v>74</v>
      </c>
      <c r="Z37" s="6" t="s">
        <v>49</v>
      </c>
      <c r="AA37" s="6" t="s">
        <v>75</v>
      </c>
      <c r="AB37" s="6" t="s">
        <v>75</v>
      </c>
      <c r="AC37" s="6" t="s">
        <v>49</v>
      </c>
      <c r="AD37" s="6" t="s">
        <v>73</v>
      </c>
      <c r="AE37" s="6" t="s">
        <v>73</v>
      </c>
      <c r="AF37" s="6" t="s">
        <v>74</v>
      </c>
    </row>
    <row r="38" spans="1:33" x14ac:dyDescent="0.25">
      <c r="B38" s="22" t="s">
        <v>62</v>
      </c>
      <c r="C38" s="6" t="s">
        <v>49</v>
      </c>
      <c r="D38" s="6" t="s">
        <v>49</v>
      </c>
      <c r="E38" s="6" t="s">
        <v>49</v>
      </c>
      <c r="F38" s="6" t="s">
        <v>49</v>
      </c>
      <c r="G38" s="6" t="s">
        <v>49</v>
      </c>
      <c r="H38" s="6" t="s">
        <v>49</v>
      </c>
      <c r="I38" s="6" t="s">
        <v>49</v>
      </c>
      <c r="J38" s="6" t="s">
        <v>49</v>
      </c>
      <c r="K38" s="6" t="s">
        <v>49</v>
      </c>
      <c r="L38" s="6" t="s">
        <v>49</v>
      </c>
      <c r="M38" s="6" t="s">
        <v>49</v>
      </c>
      <c r="N38" s="6" t="s">
        <v>49</v>
      </c>
      <c r="O38" s="6" t="s">
        <v>49</v>
      </c>
      <c r="P38" s="6" t="s">
        <v>49</v>
      </c>
      <c r="Q38" s="6" t="s">
        <v>49</v>
      </c>
      <c r="R38" s="6" t="s">
        <v>49</v>
      </c>
      <c r="S38" s="6" t="s">
        <v>49</v>
      </c>
      <c r="T38" s="6" t="s">
        <v>49</v>
      </c>
      <c r="U38" s="6" t="s">
        <v>49</v>
      </c>
      <c r="V38" s="6" t="s">
        <v>49</v>
      </c>
      <c r="W38" s="6" t="s">
        <v>49</v>
      </c>
      <c r="X38" s="6" t="s">
        <v>49</v>
      </c>
      <c r="Y38" s="6" t="s">
        <v>49</v>
      </c>
      <c r="Z38" s="6" t="s">
        <v>49</v>
      </c>
      <c r="AA38" s="6" t="s">
        <v>49</v>
      </c>
      <c r="AB38" s="6" t="s">
        <v>49</v>
      </c>
      <c r="AC38" s="6" t="s">
        <v>49</v>
      </c>
      <c r="AD38" s="6" t="s">
        <v>49</v>
      </c>
      <c r="AE38" s="6" t="s">
        <v>49</v>
      </c>
      <c r="AF38" s="6" t="s">
        <v>49</v>
      </c>
    </row>
    <row r="39" spans="1:33" x14ac:dyDescent="0.25">
      <c r="B39" s="22" t="s">
        <v>63</v>
      </c>
      <c r="C39" s="6" t="s">
        <v>80</v>
      </c>
      <c r="D39" s="6" t="s">
        <v>49</v>
      </c>
      <c r="E39" s="6" t="s">
        <v>81</v>
      </c>
      <c r="F39" s="6" t="s">
        <v>81</v>
      </c>
      <c r="G39" s="6" t="s">
        <v>49</v>
      </c>
      <c r="H39" s="6" t="s">
        <v>79</v>
      </c>
      <c r="I39" s="6" t="s">
        <v>79</v>
      </c>
      <c r="J39" s="6" t="s">
        <v>80</v>
      </c>
      <c r="K39" s="6" t="s">
        <v>80</v>
      </c>
      <c r="L39" s="6" t="s">
        <v>49</v>
      </c>
      <c r="M39" s="6" t="s">
        <v>81</v>
      </c>
      <c r="N39" s="6" t="s">
        <v>81</v>
      </c>
      <c r="O39" s="6" t="s">
        <v>49</v>
      </c>
      <c r="P39" s="6" t="s">
        <v>79</v>
      </c>
      <c r="Q39" s="6" t="s">
        <v>79</v>
      </c>
      <c r="R39" s="6" t="s">
        <v>80</v>
      </c>
      <c r="S39" s="6" t="s">
        <v>80</v>
      </c>
      <c r="T39" s="6" t="s">
        <v>49</v>
      </c>
      <c r="U39" s="6" t="s">
        <v>81</v>
      </c>
      <c r="V39" s="6" t="s">
        <v>81</v>
      </c>
      <c r="W39" s="6" t="s">
        <v>49</v>
      </c>
      <c r="X39" s="6" t="s">
        <v>79</v>
      </c>
      <c r="Y39" s="6" t="s">
        <v>79</v>
      </c>
      <c r="Z39" s="6" t="s">
        <v>80</v>
      </c>
      <c r="AA39" s="6" t="s">
        <v>80</v>
      </c>
      <c r="AB39" s="6" t="s">
        <v>49</v>
      </c>
      <c r="AC39" s="6" t="s">
        <v>81</v>
      </c>
      <c r="AD39" s="6" t="s">
        <v>81</v>
      </c>
      <c r="AE39" s="6" t="s">
        <v>49</v>
      </c>
      <c r="AF39" s="6" t="s">
        <v>79</v>
      </c>
    </row>
    <row r="40" spans="1:33" x14ac:dyDescent="0.25">
      <c r="B40" s="22" t="s">
        <v>64</v>
      </c>
      <c r="C40" s="6" t="s">
        <v>74</v>
      </c>
      <c r="D40" s="6" t="s">
        <v>49</v>
      </c>
      <c r="E40" s="6" t="s">
        <v>75</v>
      </c>
      <c r="F40" s="6" t="s">
        <v>75</v>
      </c>
      <c r="G40" s="6" t="s">
        <v>49</v>
      </c>
      <c r="H40" s="6" t="s">
        <v>73</v>
      </c>
      <c r="I40" s="6" t="s">
        <v>73</v>
      </c>
      <c r="J40" s="6" t="s">
        <v>74</v>
      </c>
      <c r="K40" s="6" t="s">
        <v>74</v>
      </c>
      <c r="L40" s="6" t="s">
        <v>49</v>
      </c>
      <c r="M40" s="6" t="s">
        <v>75</v>
      </c>
      <c r="N40" s="6" t="s">
        <v>75</v>
      </c>
      <c r="O40" s="6" t="s">
        <v>49</v>
      </c>
      <c r="P40" s="6" t="s">
        <v>73</v>
      </c>
      <c r="Q40" s="6" t="s">
        <v>73</v>
      </c>
      <c r="R40" s="6" t="s">
        <v>74</v>
      </c>
      <c r="S40" s="6" t="s">
        <v>74</v>
      </c>
      <c r="T40" s="6" t="s">
        <v>49</v>
      </c>
      <c r="U40" s="6" t="s">
        <v>75</v>
      </c>
      <c r="V40" s="6" t="s">
        <v>75</v>
      </c>
      <c r="W40" s="6" t="s">
        <v>49</v>
      </c>
      <c r="X40" s="6" t="s">
        <v>73</v>
      </c>
      <c r="Y40" s="6" t="s">
        <v>73</v>
      </c>
      <c r="Z40" s="6" t="s">
        <v>74</v>
      </c>
      <c r="AA40" s="6" t="s">
        <v>74</v>
      </c>
      <c r="AB40" s="6" t="s">
        <v>49</v>
      </c>
      <c r="AC40" s="6" t="s">
        <v>75</v>
      </c>
      <c r="AD40" s="6" t="s">
        <v>75</v>
      </c>
      <c r="AE40" s="6" t="s">
        <v>49</v>
      </c>
      <c r="AF40" s="6" t="s">
        <v>73</v>
      </c>
    </row>
    <row r="41" spans="1:33" x14ac:dyDescent="0.25">
      <c r="B41" s="22" t="s">
        <v>65</v>
      </c>
      <c r="C41" s="6" t="s">
        <v>77</v>
      </c>
      <c r="D41" s="6" t="s">
        <v>49</v>
      </c>
      <c r="E41" s="6" t="s">
        <v>78</v>
      </c>
      <c r="F41" s="6" t="s">
        <v>78</v>
      </c>
      <c r="G41" s="6" t="s">
        <v>49</v>
      </c>
      <c r="H41" s="6" t="s">
        <v>76</v>
      </c>
      <c r="I41" s="6" t="s">
        <v>76</v>
      </c>
      <c r="J41" s="6" t="s">
        <v>77</v>
      </c>
      <c r="K41" s="6" t="s">
        <v>77</v>
      </c>
      <c r="L41" s="6" t="s">
        <v>49</v>
      </c>
      <c r="M41" s="6" t="s">
        <v>78</v>
      </c>
      <c r="N41" s="6" t="s">
        <v>78</v>
      </c>
      <c r="O41" s="6" t="s">
        <v>49</v>
      </c>
      <c r="P41" s="6" t="s">
        <v>76</v>
      </c>
      <c r="Q41" s="6" t="s">
        <v>76</v>
      </c>
      <c r="R41" s="6" t="s">
        <v>77</v>
      </c>
      <c r="S41" s="6" t="s">
        <v>77</v>
      </c>
      <c r="T41" s="6" t="s">
        <v>49</v>
      </c>
      <c r="U41" s="6" t="s">
        <v>78</v>
      </c>
      <c r="V41" s="6" t="s">
        <v>78</v>
      </c>
      <c r="W41" s="6" t="s">
        <v>49</v>
      </c>
      <c r="X41" s="6" t="s">
        <v>76</v>
      </c>
      <c r="Y41" s="6" t="s">
        <v>76</v>
      </c>
      <c r="Z41" s="6" t="s">
        <v>77</v>
      </c>
      <c r="AA41" s="6" t="s">
        <v>77</v>
      </c>
      <c r="AB41" s="6" t="s">
        <v>49</v>
      </c>
      <c r="AC41" s="6" t="s">
        <v>78</v>
      </c>
      <c r="AD41" s="6" t="s">
        <v>78</v>
      </c>
      <c r="AE41" s="6" t="s">
        <v>49</v>
      </c>
      <c r="AF41" s="6" t="s">
        <v>76</v>
      </c>
    </row>
    <row r="42" spans="1:33" x14ac:dyDescent="0.25">
      <c r="B42" s="22" t="s">
        <v>66</v>
      </c>
      <c r="C42" s="6" t="s">
        <v>71</v>
      </c>
      <c r="D42" s="6" t="s">
        <v>49</v>
      </c>
      <c r="E42" s="6" t="s">
        <v>72</v>
      </c>
      <c r="F42" s="6" t="s">
        <v>72</v>
      </c>
      <c r="G42" s="6" t="s">
        <v>49</v>
      </c>
      <c r="H42" s="6" t="s">
        <v>70</v>
      </c>
      <c r="I42" s="6" t="s">
        <v>70</v>
      </c>
      <c r="J42" s="6" t="s">
        <v>71</v>
      </c>
      <c r="K42" s="6" t="s">
        <v>71</v>
      </c>
      <c r="L42" s="6" t="s">
        <v>49</v>
      </c>
      <c r="M42" s="6" t="s">
        <v>72</v>
      </c>
      <c r="N42" s="6" t="s">
        <v>72</v>
      </c>
      <c r="O42" s="6" t="s">
        <v>49</v>
      </c>
      <c r="P42" s="6" t="s">
        <v>70</v>
      </c>
      <c r="Q42" s="6" t="s">
        <v>70</v>
      </c>
      <c r="R42" s="6" t="s">
        <v>71</v>
      </c>
      <c r="S42" s="6" t="s">
        <v>71</v>
      </c>
      <c r="T42" s="6" t="s">
        <v>49</v>
      </c>
      <c r="U42" s="6" t="s">
        <v>72</v>
      </c>
      <c r="V42" s="6" t="s">
        <v>72</v>
      </c>
      <c r="W42" s="6" t="s">
        <v>49</v>
      </c>
      <c r="X42" s="6" t="s">
        <v>70</v>
      </c>
      <c r="Y42" s="6" t="s">
        <v>70</v>
      </c>
      <c r="Z42" s="6" t="s">
        <v>71</v>
      </c>
      <c r="AA42" s="6" t="s">
        <v>71</v>
      </c>
      <c r="AB42" s="6" t="s">
        <v>49</v>
      </c>
      <c r="AC42" s="6" t="s">
        <v>72</v>
      </c>
      <c r="AD42" s="6" t="s">
        <v>72</v>
      </c>
      <c r="AE42" s="6" t="s">
        <v>49</v>
      </c>
      <c r="AF42" s="6" t="s">
        <v>70</v>
      </c>
    </row>
    <row r="43" spans="1:33" x14ac:dyDescent="0.25">
      <c r="B43" s="23" t="s">
        <v>67</v>
      </c>
      <c r="C43" s="10" t="s">
        <v>80</v>
      </c>
      <c r="D43" s="10" t="s">
        <v>49</v>
      </c>
      <c r="E43" s="10" t="s">
        <v>81</v>
      </c>
      <c r="F43" s="10" t="s">
        <v>81</v>
      </c>
      <c r="G43" s="10" t="s">
        <v>49</v>
      </c>
      <c r="H43" s="10" t="s">
        <v>79</v>
      </c>
      <c r="I43" s="10" t="s">
        <v>79</v>
      </c>
      <c r="J43" s="10" t="s">
        <v>80</v>
      </c>
      <c r="K43" s="10" t="s">
        <v>80</v>
      </c>
      <c r="L43" s="10" t="s">
        <v>49</v>
      </c>
      <c r="M43" s="10" t="s">
        <v>81</v>
      </c>
      <c r="N43" s="10" t="s">
        <v>81</v>
      </c>
      <c r="O43" s="10" t="s">
        <v>49</v>
      </c>
      <c r="P43" s="10" t="s">
        <v>79</v>
      </c>
      <c r="Q43" s="10" t="s">
        <v>79</v>
      </c>
      <c r="R43" s="10" t="s">
        <v>80</v>
      </c>
      <c r="S43" s="10" t="s">
        <v>80</v>
      </c>
      <c r="T43" s="10" t="s">
        <v>49</v>
      </c>
      <c r="U43" s="10" t="s">
        <v>81</v>
      </c>
      <c r="V43" s="10" t="s">
        <v>81</v>
      </c>
      <c r="W43" s="10" t="s">
        <v>49</v>
      </c>
      <c r="X43" s="10" t="s">
        <v>79</v>
      </c>
      <c r="Y43" s="10" t="s">
        <v>79</v>
      </c>
      <c r="Z43" s="10" t="s">
        <v>80</v>
      </c>
      <c r="AA43" s="10" t="s">
        <v>80</v>
      </c>
      <c r="AB43" s="10" t="s">
        <v>49</v>
      </c>
      <c r="AC43" s="10" t="s">
        <v>81</v>
      </c>
      <c r="AD43" s="10" t="s">
        <v>81</v>
      </c>
      <c r="AE43" s="10" t="s">
        <v>49</v>
      </c>
      <c r="AF43" s="10" t="s">
        <v>79</v>
      </c>
    </row>
    <row r="45" spans="1:33" x14ac:dyDescent="0.25">
      <c r="A45" s="1" t="s">
        <v>68</v>
      </c>
    </row>
    <row r="46" spans="1:33" x14ac:dyDescent="0.25">
      <c r="A46" s="24" t="s">
        <v>1</v>
      </c>
      <c r="B46" s="3" t="s">
        <v>2</v>
      </c>
      <c r="C46" s="3" t="s">
        <v>3</v>
      </c>
      <c r="D46" s="3" t="s">
        <v>4</v>
      </c>
      <c r="E46" s="3" t="s">
        <v>5</v>
      </c>
      <c r="F46" s="3" t="s">
        <v>6</v>
      </c>
      <c r="G46" s="3" t="s">
        <v>7</v>
      </c>
      <c r="H46" s="3" t="s">
        <v>8</v>
      </c>
      <c r="I46" s="3" t="s">
        <v>9</v>
      </c>
      <c r="J46" s="3" t="s">
        <v>10</v>
      </c>
      <c r="K46" s="3" t="s">
        <v>11</v>
      </c>
      <c r="L46" s="3" t="s">
        <v>12</v>
      </c>
      <c r="M46" s="3" t="s">
        <v>13</v>
      </c>
      <c r="N46" s="3" t="s">
        <v>14</v>
      </c>
      <c r="O46" s="3" t="s">
        <v>15</v>
      </c>
      <c r="P46" s="3" t="s">
        <v>16</v>
      </c>
      <c r="Q46" s="3" t="s">
        <v>17</v>
      </c>
      <c r="R46" s="3" t="s">
        <v>18</v>
      </c>
      <c r="S46" s="3" t="s">
        <v>19</v>
      </c>
      <c r="T46" s="3" t="s">
        <v>20</v>
      </c>
      <c r="U46" s="3" t="s">
        <v>21</v>
      </c>
      <c r="V46" s="3" t="s">
        <v>22</v>
      </c>
      <c r="W46" s="3" t="s">
        <v>23</v>
      </c>
      <c r="X46" s="3" t="s">
        <v>24</v>
      </c>
      <c r="Y46" s="3" t="s">
        <v>25</v>
      </c>
      <c r="Z46" s="3" t="s">
        <v>26</v>
      </c>
      <c r="AA46" s="3" t="s">
        <v>27</v>
      </c>
      <c r="AB46" s="3" t="s">
        <v>28</v>
      </c>
      <c r="AC46" s="3" t="s">
        <v>29</v>
      </c>
      <c r="AD46" s="3" t="s">
        <v>30</v>
      </c>
      <c r="AE46" s="3" t="s">
        <v>31</v>
      </c>
      <c r="AF46" s="3" t="s">
        <v>32</v>
      </c>
      <c r="AG46" s="4" t="s">
        <v>33</v>
      </c>
    </row>
    <row r="47" spans="1:33" x14ac:dyDescent="0.25">
      <c r="A47" s="5" t="s">
        <v>34</v>
      </c>
      <c r="B47" s="6" t="s">
        <v>35</v>
      </c>
      <c r="C47" s="7" t="str">
        <f>IF(COUNTIF(C$3:C$21,$B47&amp;" "&amp;$A47)&gt;=Description!C3,"Passed", "Failed")</f>
        <v>Failed</v>
      </c>
      <c r="D47" s="7" t="str">
        <f>IF(COUNTIF(D$3:D$21,$B47&amp;" "&amp;$A47)&gt;=Description!D3,"Passed", "Failed")</f>
        <v>Failed</v>
      </c>
      <c r="E47" s="7" t="str">
        <f>IF(COUNTIF(E$3:E$21,$B47&amp;" "&amp;$A47)&gt;=Description!E3,"Passed", "Failed")</f>
        <v>Failed</v>
      </c>
      <c r="F47" s="7" t="str">
        <f>IF(COUNTIF(F$3:F$21,$B47&amp;" "&amp;$A47)&gt;=Description!F3,"Passed", "Failed")</f>
        <v>Failed</v>
      </c>
      <c r="G47" s="7" t="str">
        <f>IF(COUNTIF(G$3:G$21,$B47&amp;" "&amp;$A47)&gt;=Description!G3,"Passed", "Failed")</f>
        <v>Failed</v>
      </c>
      <c r="H47" s="7" t="str">
        <f>IF(COUNTIF(H$3:H$21,$B47&amp;" "&amp;$A47)&gt;=Description!H3,"Passed", "Failed")</f>
        <v>Failed</v>
      </c>
      <c r="I47" s="7" t="str">
        <f>IF(COUNTIF(I$3:I$21,$B47&amp;" "&amp;$A47)&gt;=Description!I3,"Passed", "Failed")</f>
        <v>Failed</v>
      </c>
      <c r="J47" s="7" t="str">
        <f>IF(COUNTIF(J$3:J$21,$B47&amp;" "&amp;$A47)&gt;=Description!J3,"Passed", "Failed")</f>
        <v>Failed</v>
      </c>
      <c r="K47" s="7" t="str">
        <f>IF(COUNTIF(K$3:K$21,$B47&amp;" "&amp;$A47)&gt;=Description!K3,"Passed", "Failed")</f>
        <v>Failed</v>
      </c>
      <c r="L47" s="7" t="str">
        <f>IF(COUNTIF(L$3:L$21,$B47&amp;" "&amp;$A47)&gt;=Description!L3,"Passed", "Failed")</f>
        <v>Failed</v>
      </c>
      <c r="M47" s="7" t="str">
        <f>IF(COUNTIF(M$3:M$21,$B47&amp;" "&amp;$A47)&gt;=Description!M3,"Passed", "Failed")</f>
        <v>Failed</v>
      </c>
      <c r="N47" s="7" t="str">
        <f>IF(COUNTIF(N$3:N$21,$B47&amp;" "&amp;$A47)&gt;=Description!N3,"Passed", "Failed")</f>
        <v>Failed</v>
      </c>
      <c r="O47" s="7" t="str">
        <f>IF(COUNTIF(O$3:O$21,$B47&amp;" "&amp;$A47)&gt;=Description!O3,"Passed", "Failed")</f>
        <v>Failed</v>
      </c>
      <c r="P47" s="7" t="str">
        <f>IF(COUNTIF(P$3:P$21,$B47&amp;" "&amp;$A47)&gt;=Description!P3,"Passed", "Failed")</f>
        <v>Failed</v>
      </c>
      <c r="Q47" s="7" t="str">
        <f>IF(COUNTIF(Q$3:Q$21,$B47&amp;" "&amp;$A47)&gt;=Description!Q3,"Passed", "Failed")</f>
        <v>Failed</v>
      </c>
      <c r="R47" s="7" t="str">
        <f>IF(COUNTIF(R$3:R$21,$B47&amp;" "&amp;$A47)&gt;=Description!R3,"Passed", "Failed")</f>
        <v>Failed</v>
      </c>
      <c r="S47" s="7" t="str">
        <f>IF(COUNTIF(S$3:S$21,$B47&amp;" "&amp;$A47)&gt;=Description!S3,"Passed", "Failed")</f>
        <v>Failed</v>
      </c>
      <c r="T47" s="7" t="str">
        <f>IF(COUNTIF(T$3:T$21,$B47&amp;" "&amp;$A47)&gt;=Description!T3,"Passed", "Failed")</f>
        <v>Failed</v>
      </c>
      <c r="U47" s="7" t="str">
        <f>IF(COUNTIF(U$3:U$21,$B47&amp;" "&amp;$A47)&gt;=Description!U3,"Passed", "Failed")</f>
        <v>Failed</v>
      </c>
      <c r="V47" s="7" t="str">
        <f>IF(COUNTIF(V$3:V$21,$B47&amp;" "&amp;$A47)&gt;=Description!V3,"Passed", "Failed")</f>
        <v>Failed</v>
      </c>
      <c r="W47" s="7" t="str">
        <f>IF(COUNTIF(W$3:W$21,$B47&amp;" "&amp;$A47)&gt;=Description!W3,"Passed", "Failed")</f>
        <v>Failed</v>
      </c>
      <c r="X47" s="7" t="str">
        <f>IF(COUNTIF(X$3:X$21,$B47&amp;" "&amp;$A47)&gt;=Description!X3,"Passed", "Failed")</f>
        <v>Failed</v>
      </c>
      <c r="Y47" s="7" t="str">
        <f>IF(COUNTIF(Y$3:Y$21,$B47&amp;" "&amp;$A47)&gt;=Description!Y3,"Passed", "Failed")</f>
        <v>Failed</v>
      </c>
      <c r="Z47" s="7" t="str">
        <f>IF(COUNTIF(Z$3:Z$21,$B47&amp;" "&amp;$A47)&gt;=Description!Z3,"Passed", "Failed")</f>
        <v>Failed</v>
      </c>
      <c r="AA47" s="7" t="str">
        <f>IF(COUNTIF(AA$3:AA$21,$B47&amp;" "&amp;$A47)&gt;=Description!AA3,"Passed", "Failed")</f>
        <v>Failed</v>
      </c>
      <c r="AB47" s="7" t="str">
        <f>IF(COUNTIF(AB$3:AB$21,$B47&amp;" "&amp;$A47)&gt;=Description!AB3,"Passed", "Failed")</f>
        <v>Failed</v>
      </c>
      <c r="AC47" s="7" t="str">
        <f>IF(COUNTIF(AC$3:AC$21,$B47&amp;" "&amp;$A47)&gt;=Description!AC3,"Passed", "Failed")</f>
        <v>Failed</v>
      </c>
      <c r="AD47" s="7" t="str">
        <f>IF(COUNTIF(AD$3:AD$21,$B47&amp;" "&amp;$A47)&gt;=Description!AD3,"Passed", "Failed")</f>
        <v>Failed</v>
      </c>
      <c r="AE47" s="7" t="str">
        <f>IF(COUNTIF(AE$3:AE$21,$B47&amp;" "&amp;$A47)&gt;=Description!AE3,"Passed", "Failed")</f>
        <v>Failed</v>
      </c>
      <c r="AF47" s="7" t="str">
        <f>IF(COUNTIF(AF$3:AF$21,$B47&amp;" "&amp;$A47)&gt;=Description!AF3,"Passed", "Failed")</f>
        <v>Failed</v>
      </c>
      <c r="AG47" s="7" t="str">
        <f>IF(COUNTIF(AG$3:AG$21,$B47&amp;" "&amp;$A47)&gt;=Description!AG3,"Passed", "Failed")</f>
        <v>Failed</v>
      </c>
    </row>
    <row r="48" spans="1:33" x14ac:dyDescent="0.25">
      <c r="A48" s="5" t="s">
        <v>34</v>
      </c>
      <c r="B48" s="6" t="s">
        <v>36</v>
      </c>
      <c r="C48" s="7" t="str">
        <f>IF(COUNTIF(C$3:C$21,$B48&amp;" "&amp;$A48)&gt;=Description!C4,"Passed", "Failed")</f>
        <v>Failed</v>
      </c>
      <c r="D48" s="7" t="str">
        <f>IF(COUNTIF(D$3:D$21,$B48&amp;" "&amp;$A48)&gt;=Description!D4,"Passed", "Failed")</f>
        <v>Failed</v>
      </c>
      <c r="E48" s="7" t="str">
        <f>IF(COUNTIF(E$3:E$21,$B48&amp;" "&amp;$A48)&gt;=Description!E4,"Passed", "Failed")</f>
        <v>Failed</v>
      </c>
      <c r="F48" s="7" t="str">
        <f>IF(COUNTIF(F$3:F$21,$B48&amp;" "&amp;$A48)&gt;=Description!F4,"Passed", "Failed")</f>
        <v>Failed</v>
      </c>
      <c r="G48" s="7" t="str">
        <f>IF(COUNTIF(G$3:G$21,$B48&amp;" "&amp;$A48)&gt;=Description!G4,"Passed", "Failed")</f>
        <v>Failed</v>
      </c>
      <c r="H48" s="7" t="str">
        <f>IF(COUNTIF(H$3:H$21,$B48&amp;" "&amp;$A48)&gt;=Description!H4,"Passed", "Failed")</f>
        <v>Failed</v>
      </c>
      <c r="I48" s="7" t="str">
        <f>IF(COUNTIF(I$3:I$21,$B48&amp;" "&amp;$A48)&gt;=Description!I4,"Passed", "Failed")</f>
        <v>Failed</v>
      </c>
      <c r="J48" s="7" t="str">
        <f>IF(COUNTIF(J$3:J$21,$B48&amp;" "&amp;$A48)&gt;=Description!J4,"Passed", "Failed")</f>
        <v>Failed</v>
      </c>
      <c r="K48" s="7" t="str">
        <f>IF(COUNTIF(K$3:K$21,$B48&amp;" "&amp;$A48)&gt;=Description!K4,"Passed", "Failed")</f>
        <v>Failed</v>
      </c>
      <c r="L48" s="7" t="str">
        <f>IF(COUNTIF(L$3:L$21,$B48&amp;" "&amp;$A48)&gt;=Description!L4,"Passed", "Failed")</f>
        <v>Failed</v>
      </c>
      <c r="M48" s="7" t="str">
        <f>IF(COUNTIF(M$3:M$21,$B48&amp;" "&amp;$A48)&gt;=Description!M4,"Passed", "Failed")</f>
        <v>Failed</v>
      </c>
      <c r="N48" s="7" t="str">
        <f>IF(COUNTIF(N$3:N$21,$B48&amp;" "&amp;$A48)&gt;=Description!N4,"Passed", "Failed")</f>
        <v>Failed</v>
      </c>
      <c r="O48" s="7" t="str">
        <f>IF(COUNTIF(O$3:O$21,$B48&amp;" "&amp;$A48)&gt;=Description!O4,"Passed", "Failed")</f>
        <v>Failed</v>
      </c>
      <c r="P48" s="7" t="str">
        <f>IF(COUNTIF(P$3:P$21,$B48&amp;" "&amp;$A48)&gt;=Description!P4,"Passed", "Failed")</f>
        <v>Failed</v>
      </c>
      <c r="Q48" s="7" t="str">
        <f>IF(COUNTIF(Q$3:Q$21,$B48&amp;" "&amp;$A48)&gt;=Description!Q4,"Passed", "Failed")</f>
        <v>Failed</v>
      </c>
      <c r="R48" s="7" t="str">
        <f>IF(COUNTIF(R$3:R$21,$B48&amp;" "&amp;$A48)&gt;=Description!R4,"Passed", "Failed")</f>
        <v>Failed</v>
      </c>
      <c r="S48" s="7" t="str">
        <f>IF(COUNTIF(S$3:S$21,$B48&amp;" "&amp;$A48)&gt;=Description!S4,"Passed", "Failed")</f>
        <v>Failed</v>
      </c>
      <c r="T48" s="7" t="str">
        <f>IF(COUNTIF(T$3:T$21,$B48&amp;" "&amp;$A48)&gt;=Description!T4,"Passed", "Failed")</f>
        <v>Failed</v>
      </c>
      <c r="U48" s="7" t="str">
        <f>IF(COUNTIF(U$3:U$21,$B48&amp;" "&amp;$A48)&gt;=Description!U4,"Passed", "Failed")</f>
        <v>Failed</v>
      </c>
      <c r="V48" s="7" t="str">
        <f>IF(COUNTIF(V$3:V$21,$B48&amp;" "&amp;$A48)&gt;=Description!V4,"Passed", "Failed")</f>
        <v>Failed</v>
      </c>
      <c r="W48" s="7" t="str">
        <f>IF(COUNTIF(W$3:W$21,$B48&amp;" "&amp;$A48)&gt;=Description!W4,"Passed", "Failed")</f>
        <v>Failed</v>
      </c>
      <c r="X48" s="7" t="str">
        <f>IF(COUNTIF(X$3:X$21,$B48&amp;" "&amp;$A48)&gt;=Description!X4,"Passed", "Failed")</f>
        <v>Failed</v>
      </c>
      <c r="Y48" s="7" t="str">
        <f>IF(COUNTIF(Y$3:Y$21,$B48&amp;" "&amp;$A48)&gt;=Description!Y4,"Passed", "Failed")</f>
        <v>Failed</v>
      </c>
      <c r="Z48" s="7" t="str">
        <f>IF(COUNTIF(Z$3:Z$21,$B48&amp;" "&amp;$A48)&gt;=Description!Z4,"Passed", "Failed")</f>
        <v>Failed</v>
      </c>
      <c r="AA48" s="7" t="str">
        <f>IF(COUNTIF(AA$3:AA$21,$B48&amp;" "&amp;$A48)&gt;=Description!AA4,"Passed", "Failed")</f>
        <v>Failed</v>
      </c>
      <c r="AB48" s="7" t="str">
        <f>IF(COUNTIF(AB$3:AB$21,$B48&amp;" "&amp;$A48)&gt;=Description!AB4,"Passed", "Failed")</f>
        <v>Failed</v>
      </c>
      <c r="AC48" s="7" t="str">
        <f>IF(COUNTIF(AC$3:AC$21,$B48&amp;" "&amp;$A48)&gt;=Description!AC4,"Passed", "Failed")</f>
        <v>Failed</v>
      </c>
      <c r="AD48" s="7" t="str">
        <f>IF(COUNTIF(AD$3:AD$21,$B48&amp;" "&amp;$A48)&gt;=Description!AD4,"Passed", "Failed")</f>
        <v>Failed</v>
      </c>
      <c r="AE48" s="7" t="str">
        <f>IF(COUNTIF(AE$3:AE$21,$B48&amp;" "&amp;$A48)&gt;=Description!AE4,"Passed", "Failed")</f>
        <v>Failed</v>
      </c>
      <c r="AF48" s="7" t="str">
        <f>IF(COUNTIF(AF$3:AF$21,$B48&amp;" "&amp;$A48)&gt;=Description!AF4,"Passed", "Failed")</f>
        <v>Failed</v>
      </c>
      <c r="AG48" s="7" t="str">
        <f>IF(COUNTIF(AG$3:AG$21,$B48&amp;" "&amp;$A48)&gt;=Description!AG4,"Passed", "Failed")</f>
        <v>Failed</v>
      </c>
    </row>
    <row r="49" spans="1:33" x14ac:dyDescent="0.25">
      <c r="A49" s="5" t="s">
        <v>34</v>
      </c>
      <c r="B49" s="10" t="s">
        <v>37</v>
      </c>
      <c r="C49" s="7" t="str">
        <f>IF(COUNTIF(C$3:C$21,$B49&amp;" "&amp;$A49)&gt;=Description!C5,"Passed", "Failed")</f>
        <v>Failed</v>
      </c>
      <c r="D49" s="7" t="str">
        <f>IF(COUNTIF(D$3:D$21,$B49&amp;" "&amp;$A49)&gt;=Description!D5,"Passed", "Failed")</f>
        <v>Failed</v>
      </c>
      <c r="E49" s="7" t="str">
        <f>IF(COUNTIF(E$3:E$21,$B49&amp;" "&amp;$A49)&gt;=Description!E5,"Passed", "Failed")</f>
        <v>Failed</v>
      </c>
      <c r="F49" s="7" t="str">
        <f>IF(COUNTIF(F$3:F$21,$B49&amp;" "&amp;$A49)&gt;=Description!F5,"Passed", "Failed")</f>
        <v>Failed</v>
      </c>
      <c r="G49" s="7" t="str">
        <f>IF(COUNTIF(G$3:G$21,$B49&amp;" "&amp;$A49)&gt;=Description!G5,"Passed", "Failed")</f>
        <v>Failed</v>
      </c>
      <c r="H49" s="7" t="str">
        <f>IF(COUNTIF(H$3:H$21,$B49&amp;" "&amp;$A49)&gt;=Description!H5,"Passed", "Failed")</f>
        <v>Failed</v>
      </c>
      <c r="I49" s="7" t="str">
        <f>IF(COUNTIF(I$3:I$21,$B49&amp;" "&amp;$A49)&gt;=Description!I5,"Passed", "Failed")</f>
        <v>Failed</v>
      </c>
      <c r="J49" s="7" t="str">
        <f>IF(COUNTIF(J$3:J$21,$B49&amp;" "&amp;$A49)&gt;=Description!J5,"Passed", "Failed")</f>
        <v>Failed</v>
      </c>
      <c r="K49" s="7" t="str">
        <f>IF(COUNTIF(K$3:K$21,$B49&amp;" "&amp;$A49)&gt;=Description!K5,"Passed", "Failed")</f>
        <v>Failed</v>
      </c>
      <c r="L49" s="7" t="str">
        <f>IF(COUNTIF(L$3:L$21,$B49&amp;" "&amp;$A49)&gt;=Description!L5,"Passed", "Failed")</f>
        <v>Failed</v>
      </c>
      <c r="M49" s="7" t="str">
        <f>IF(COUNTIF(M$3:M$21,$B49&amp;" "&amp;$A49)&gt;=Description!M5,"Passed", "Failed")</f>
        <v>Failed</v>
      </c>
      <c r="N49" s="7" t="str">
        <f>IF(COUNTIF(N$3:N$21,$B49&amp;" "&amp;$A49)&gt;=Description!N5,"Passed", "Failed")</f>
        <v>Failed</v>
      </c>
      <c r="O49" s="7" t="str">
        <f>IF(COUNTIF(O$3:O$21,$B49&amp;" "&amp;$A49)&gt;=Description!O5,"Passed", "Failed")</f>
        <v>Failed</v>
      </c>
      <c r="P49" s="7" t="str">
        <f>IF(COUNTIF(P$3:P$21,$B49&amp;" "&amp;$A49)&gt;=Description!P5,"Passed", "Failed")</f>
        <v>Failed</v>
      </c>
      <c r="Q49" s="7" t="str">
        <f>IF(COUNTIF(Q$3:Q$21,$B49&amp;" "&amp;$A49)&gt;=Description!Q5,"Passed", "Failed")</f>
        <v>Failed</v>
      </c>
      <c r="R49" s="7" t="str">
        <f>IF(COUNTIF(R$3:R$21,$B49&amp;" "&amp;$A49)&gt;=Description!R5,"Passed", "Failed")</f>
        <v>Failed</v>
      </c>
      <c r="S49" s="7" t="str">
        <f>IF(COUNTIF(S$3:S$21,$B49&amp;" "&amp;$A49)&gt;=Description!S5,"Passed", "Failed")</f>
        <v>Failed</v>
      </c>
      <c r="T49" s="7" t="str">
        <f>IF(COUNTIF(T$3:T$21,$B49&amp;" "&amp;$A49)&gt;=Description!T5,"Passed", "Failed")</f>
        <v>Failed</v>
      </c>
      <c r="U49" s="7" t="str">
        <f>IF(COUNTIF(U$3:U$21,$B49&amp;" "&amp;$A49)&gt;=Description!U5,"Passed", "Failed")</f>
        <v>Failed</v>
      </c>
      <c r="V49" s="7" t="str">
        <f>IF(COUNTIF(V$3:V$21,$B49&amp;" "&amp;$A49)&gt;=Description!V5,"Passed", "Failed")</f>
        <v>Failed</v>
      </c>
      <c r="W49" s="7" t="str">
        <f>IF(COUNTIF(W$3:W$21,$B49&amp;" "&amp;$A49)&gt;=Description!W5,"Passed", "Failed")</f>
        <v>Failed</v>
      </c>
      <c r="X49" s="7" t="str">
        <f>IF(COUNTIF(X$3:X$21,$B49&amp;" "&amp;$A49)&gt;=Description!X5,"Passed", "Failed")</f>
        <v>Failed</v>
      </c>
      <c r="Y49" s="7" t="str">
        <f>IF(COUNTIF(Y$3:Y$21,$B49&amp;" "&amp;$A49)&gt;=Description!Y5,"Passed", "Failed")</f>
        <v>Failed</v>
      </c>
      <c r="Z49" s="7" t="str">
        <f>IF(COUNTIF(Z$3:Z$21,$B49&amp;" "&amp;$A49)&gt;=Description!Z5,"Passed", "Failed")</f>
        <v>Failed</v>
      </c>
      <c r="AA49" s="7" t="str">
        <f>IF(COUNTIF(AA$3:AA$21,$B49&amp;" "&amp;$A49)&gt;=Description!AA5,"Passed", "Failed")</f>
        <v>Failed</v>
      </c>
      <c r="AB49" s="7" t="str">
        <f>IF(COUNTIF(AB$3:AB$21,$B49&amp;" "&amp;$A49)&gt;=Description!AB5,"Passed", "Failed")</f>
        <v>Failed</v>
      </c>
      <c r="AC49" s="7" t="str">
        <f>IF(COUNTIF(AC$3:AC$21,$B49&amp;" "&amp;$A49)&gt;=Description!AC5,"Passed", "Failed")</f>
        <v>Failed</v>
      </c>
      <c r="AD49" s="7" t="str">
        <f>IF(COUNTIF(AD$3:AD$21,$B49&amp;" "&amp;$A49)&gt;=Description!AD5,"Passed", "Failed")</f>
        <v>Failed</v>
      </c>
      <c r="AE49" s="7" t="str">
        <f>IF(COUNTIF(AE$3:AE$21,$B49&amp;" "&amp;$A49)&gt;=Description!AE5,"Passed", "Failed")</f>
        <v>Failed</v>
      </c>
      <c r="AF49" s="7" t="str">
        <f>IF(COUNTIF(AF$3:AF$21,$B49&amp;" "&amp;$A49)&gt;=Description!AF5,"Passed", "Failed")</f>
        <v>Failed</v>
      </c>
      <c r="AG49" s="7" t="str">
        <f>IF(COUNTIF(AG$3:AG$21,$B49&amp;" "&amp;$A49)&gt;=Description!AG5,"Passed", "Failed")</f>
        <v>Failed</v>
      </c>
    </row>
    <row r="50" spans="1:33" x14ac:dyDescent="0.25">
      <c r="A50" s="12" t="s">
        <v>38</v>
      </c>
      <c r="B50" s="6" t="s">
        <v>35</v>
      </c>
      <c r="C50" s="7" t="str">
        <f>IF(COUNTIF(C$3:C$21,$B50&amp;" "&amp;$A50)&gt;=Description!C6,"Passed", "Failed")</f>
        <v>Failed</v>
      </c>
      <c r="D50" s="7" t="str">
        <f>IF(COUNTIF(D$3:D$21,$B50&amp;" "&amp;$A50)&gt;=Description!D6,"Passed", "Failed")</f>
        <v>Failed</v>
      </c>
      <c r="E50" s="7" t="str">
        <f>IF(COUNTIF(E$3:E$21,$B50&amp;" "&amp;$A50)&gt;=Description!E6,"Passed", "Failed")</f>
        <v>Failed</v>
      </c>
      <c r="F50" s="7" t="str">
        <f>IF(COUNTIF(F$3:F$21,$B50&amp;" "&amp;$A50)&gt;=Description!F6,"Passed", "Failed")</f>
        <v>Failed</v>
      </c>
      <c r="G50" s="7" t="str">
        <f>IF(COUNTIF(G$3:G$21,$B50&amp;" "&amp;$A50)&gt;=Description!G6,"Passed", "Failed")</f>
        <v>Failed</v>
      </c>
      <c r="H50" s="7" t="str">
        <f>IF(COUNTIF(H$3:H$21,$B50&amp;" "&amp;$A50)&gt;=Description!H6,"Passed", "Failed")</f>
        <v>Failed</v>
      </c>
      <c r="I50" s="7" t="str">
        <f>IF(COUNTIF(I$3:I$21,$B50&amp;" "&amp;$A50)&gt;=Description!I6,"Passed", "Failed")</f>
        <v>Failed</v>
      </c>
      <c r="J50" s="7" t="str">
        <f>IF(COUNTIF(J$3:J$21,$B50&amp;" "&amp;$A50)&gt;=Description!J6,"Passed", "Failed")</f>
        <v>Failed</v>
      </c>
      <c r="K50" s="7" t="str">
        <f>IF(COUNTIF(K$3:K$21,$B50&amp;" "&amp;$A50)&gt;=Description!K6,"Passed", "Failed")</f>
        <v>Failed</v>
      </c>
      <c r="L50" s="7" t="str">
        <f>IF(COUNTIF(L$3:L$21,$B50&amp;" "&amp;$A50)&gt;=Description!L6,"Passed", "Failed")</f>
        <v>Failed</v>
      </c>
      <c r="M50" s="7" t="str">
        <f>IF(COUNTIF(M$3:M$21,$B50&amp;" "&amp;$A50)&gt;=Description!M6,"Passed", "Failed")</f>
        <v>Failed</v>
      </c>
      <c r="N50" s="7" t="str">
        <f>IF(COUNTIF(N$3:N$21,$B50&amp;" "&amp;$A50)&gt;=Description!N6,"Passed", "Failed")</f>
        <v>Failed</v>
      </c>
      <c r="O50" s="7" t="str">
        <f>IF(COUNTIF(O$3:O$21,$B50&amp;" "&amp;$A50)&gt;=Description!O6,"Passed", "Failed")</f>
        <v>Failed</v>
      </c>
      <c r="P50" s="7" t="str">
        <f>IF(COUNTIF(P$3:P$21,$B50&amp;" "&amp;$A50)&gt;=Description!P6,"Passed", "Failed")</f>
        <v>Failed</v>
      </c>
      <c r="Q50" s="7" t="str">
        <f>IF(COUNTIF(Q$3:Q$21,$B50&amp;" "&amp;$A50)&gt;=Description!Q6,"Passed", "Failed")</f>
        <v>Failed</v>
      </c>
      <c r="R50" s="7" t="str">
        <f>IF(COUNTIF(R$3:R$21,$B50&amp;" "&amp;$A50)&gt;=Description!R6,"Passed", "Failed")</f>
        <v>Failed</v>
      </c>
      <c r="S50" s="7" t="str">
        <f>IF(COUNTIF(S$3:S$21,$B50&amp;" "&amp;$A50)&gt;=Description!S6,"Passed", "Failed")</f>
        <v>Failed</v>
      </c>
      <c r="T50" s="7" t="str">
        <f>IF(COUNTIF(T$3:T$21,$B50&amp;" "&amp;$A50)&gt;=Description!T6,"Passed", "Failed")</f>
        <v>Failed</v>
      </c>
      <c r="U50" s="7" t="str">
        <f>IF(COUNTIF(U$3:U$21,$B50&amp;" "&amp;$A50)&gt;=Description!U6,"Passed", "Failed")</f>
        <v>Failed</v>
      </c>
      <c r="V50" s="7" t="str">
        <f>IF(COUNTIF(V$3:V$21,$B50&amp;" "&amp;$A50)&gt;=Description!V6,"Passed", "Failed")</f>
        <v>Failed</v>
      </c>
      <c r="W50" s="7" t="str">
        <f>IF(COUNTIF(W$3:W$21,$B50&amp;" "&amp;$A50)&gt;=Description!W6,"Passed", "Failed")</f>
        <v>Failed</v>
      </c>
      <c r="X50" s="7" t="str">
        <f>IF(COUNTIF(X$3:X$21,$B50&amp;" "&amp;$A50)&gt;=Description!X6,"Passed", "Failed")</f>
        <v>Failed</v>
      </c>
      <c r="Y50" s="7" t="str">
        <f>IF(COUNTIF(Y$3:Y$21,$B50&amp;" "&amp;$A50)&gt;=Description!Y6,"Passed", "Failed")</f>
        <v>Failed</v>
      </c>
      <c r="Z50" s="7" t="str">
        <f>IF(COUNTIF(Z$3:Z$21,$B50&amp;" "&amp;$A50)&gt;=Description!Z6,"Passed", "Failed")</f>
        <v>Failed</v>
      </c>
      <c r="AA50" s="7" t="str">
        <f>IF(COUNTIF(AA$3:AA$21,$B50&amp;" "&amp;$A50)&gt;=Description!AA6,"Passed", "Failed")</f>
        <v>Failed</v>
      </c>
      <c r="AB50" s="7" t="str">
        <f>IF(COUNTIF(AB$3:AB$21,$B50&amp;" "&amp;$A50)&gt;=Description!AB6,"Passed", "Failed")</f>
        <v>Failed</v>
      </c>
      <c r="AC50" s="7" t="str">
        <f>IF(COUNTIF(AC$3:AC$21,$B50&amp;" "&amp;$A50)&gt;=Description!AC6,"Passed", "Failed")</f>
        <v>Failed</v>
      </c>
      <c r="AD50" s="7" t="str">
        <f>IF(COUNTIF(AD$3:AD$21,$B50&amp;" "&amp;$A50)&gt;=Description!AD6,"Passed", "Failed")</f>
        <v>Failed</v>
      </c>
      <c r="AE50" s="7" t="str">
        <f>IF(COUNTIF(AE$3:AE$21,$B50&amp;" "&amp;$A50)&gt;=Description!AE6,"Passed", "Failed")</f>
        <v>Failed</v>
      </c>
      <c r="AF50" s="7" t="str">
        <f>IF(COUNTIF(AF$3:AF$21,$B50&amp;" "&amp;$A50)&gt;=Description!AF6,"Passed", "Failed")</f>
        <v>Failed</v>
      </c>
      <c r="AG50" s="7" t="str">
        <f>IF(COUNTIF(AG$3:AG$21,$B50&amp;" "&amp;$A50)&gt;=Description!AG6,"Passed", "Failed")</f>
        <v>Failed</v>
      </c>
    </row>
    <row r="51" spans="1:33" x14ac:dyDescent="0.25">
      <c r="A51" s="5" t="s">
        <v>38</v>
      </c>
      <c r="B51" s="6" t="s">
        <v>36</v>
      </c>
      <c r="C51" s="7" t="str">
        <f>IF(COUNTIF(C$3:C$21,$B51&amp;" "&amp;$A51)&gt;=Description!C7,"Passed", "Failed")</f>
        <v>Failed</v>
      </c>
      <c r="D51" s="7" t="str">
        <f>IF(COUNTIF(D$3:D$21,$B51&amp;" "&amp;$A51)&gt;=Description!D7,"Passed", "Failed")</f>
        <v>Failed</v>
      </c>
      <c r="E51" s="7" t="str">
        <f>IF(COUNTIF(E$3:E$21,$B51&amp;" "&amp;$A51)&gt;=Description!E7,"Passed", "Failed")</f>
        <v>Failed</v>
      </c>
      <c r="F51" s="7" t="str">
        <f>IF(COUNTIF(F$3:F$21,$B51&amp;" "&amp;$A51)&gt;=Description!F7,"Passed", "Failed")</f>
        <v>Failed</v>
      </c>
      <c r="G51" s="7" t="str">
        <f>IF(COUNTIF(G$3:G$21,$B51&amp;" "&amp;$A51)&gt;=Description!G7,"Passed", "Failed")</f>
        <v>Failed</v>
      </c>
      <c r="H51" s="7" t="str">
        <f>IF(COUNTIF(H$3:H$21,$B51&amp;" "&amp;$A51)&gt;=Description!H7,"Passed", "Failed")</f>
        <v>Failed</v>
      </c>
      <c r="I51" s="7" t="str">
        <f>IF(COUNTIF(I$3:I$21,$B51&amp;" "&amp;$A51)&gt;=Description!I7,"Passed", "Failed")</f>
        <v>Failed</v>
      </c>
      <c r="J51" s="7" t="str">
        <f>IF(COUNTIF(J$3:J$21,$B51&amp;" "&amp;$A51)&gt;=Description!J7,"Passed", "Failed")</f>
        <v>Failed</v>
      </c>
      <c r="K51" s="7" t="str">
        <f>IF(COUNTIF(K$3:K$21,$B51&amp;" "&amp;$A51)&gt;=Description!K7,"Passed", "Failed")</f>
        <v>Failed</v>
      </c>
      <c r="L51" s="7" t="str">
        <f>IF(COUNTIF(L$3:L$21,$B51&amp;" "&amp;$A51)&gt;=Description!L7,"Passed", "Failed")</f>
        <v>Failed</v>
      </c>
      <c r="M51" s="7" t="str">
        <f>IF(COUNTIF(M$3:M$21,$B51&amp;" "&amp;$A51)&gt;=Description!M7,"Passed", "Failed")</f>
        <v>Failed</v>
      </c>
      <c r="N51" s="7" t="str">
        <f>IF(COUNTIF(N$3:N$21,$B51&amp;" "&amp;$A51)&gt;=Description!N7,"Passed", "Failed")</f>
        <v>Failed</v>
      </c>
      <c r="O51" s="7" t="str">
        <f>IF(COUNTIF(O$3:O$21,$B51&amp;" "&amp;$A51)&gt;=Description!O7,"Passed", "Failed")</f>
        <v>Failed</v>
      </c>
      <c r="P51" s="7" t="str">
        <f>IF(COUNTIF(P$3:P$21,$B51&amp;" "&amp;$A51)&gt;=Description!P7,"Passed", "Failed")</f>
        <v>Failed</v>
      </c>
      <c r="Q51" s="7" t="str">
        <f>IF(COUNTIF(Q$3:Q$21,$B51&amp;" "&amp;$A51)&gt;=Description!Q7,"Passed", "Failed")</f>
        <v>Failed</v>
      </c>
      <c r="R51" s="7" t="str">
        <f>IF(COUNTIF(R$3:R$21,$B51&amp;" "&amp;$A51)&gt;=Description!R7,"Passed", "Failed")</f>
        <v>Failed</v>
      </c>
      <c r="S51" s="7" t="str">
        <f>IF(COUNTIF(S$3:S$21,$B51&amp;" "&amp;$A51)&gt;=Description!S7,"Passed", "Failed")</f>
        <v>Failed</v>
      </c>
      <c r="T51" s="7" t="str">
        <f>IF(COUNTIF(T$3:T$21,$B51&amp;" "&amp;$A51)&gt;=Description!T7,"Passed", "Failed")</f>
        <v>Failed</v>
      </c>
      <c r="U51" s="7" t="str">
        <f>IF(COUNTIF(U$3:U$21,$B51&amp;" "&amp;$A51)&gt;=Description!U7,"Passed", "Failed")</f>
        <v>Failed</v>
      </c>
      <c r="V51" s="7" t="str">
        <f>IF(COUNTIF(V$3:V$21,$B51&amp;" "&amp;$A51)&gt;=Description!V7,"Passed", "Failed")</f>
        <v>Failed</v>
      </c>
      <c r="W51" s="7" t="str">
        <f>IF(COUNTIF(W$3:W$21,$B51&amp;" "&amp;$A51)&gt;=Description!W7,"Passed", "Failed")</f>
        <v>Failed</v>
      </c>
      <c r="X51" s="7" t="str">
        <f>IF(COUNTIF(X$3:X$21,$B51&amp;" "&amp;$A51)&gt;=Description!X7,"Passed", "Failed")</f>
        <v>Failed</v>
      </c>
      <c r="Y51" s="7" t="str">
        <f>IF(COUNTIF(Y$3:Y$21,$B51&amp;" "&amp;$A51)&gt;=Description!Y7,"Passed", "Failed")</f>
        <v>Failed</v>
      </c>
      <c r="Z51" s="7" t="str">
        <f>IF(COUNTIF(Z$3:Z$21,$B51&amp;" "&amp;$A51)&gt;=Description!Z7,"Passed", "Failed")</f>
        <v>Failed</v>
      </c>
      <c r="AA51" s="7" t="str">
        <f>IF(COUNTIF(AA$3:AA$21,$B51&amp;" "&amp;$A51)&gt;=Description!AA7,"Passed", "Failed")</f>
        <v>Failed</v>
      </c>
      <c r="AB51" s="7" t="str">
        <f>IF(COUNTIF(AB$3:AB$21,$B51&amp;" "&amp;$A51)&gt;=Description!AB7,"Passed", "Failed")</f>
        <v>Failed</v>
      </c>
      <c r="AC51" s="7" t="str">
        <f>IF(COUNTIF(AC$3:AC$21,$B51&amp;" "&amp;$A51)&gt;=Description!AC7,"Passed", "Failed")</f>
        <v>Failed</v>
      </c>
      <c r="AD51" s="7" t="str">
        <f>IF(COUNTIF(AD$3:AD$21,$B51&amp;" "&amp;$A51)&gt;=Description!AD7,"Passed", "Failed")</f>
        <v>Failed</v>
      </c>
      <c r="AE51" s="7" t="str">
        <f>IF(COUNTIF(AE$3:AE$21,$B51&amp;" "&amp;$A51)&gt;=Description!AE7,"Passed", "Failed")</f>
        <v>Failed</v>
      </c>
      <c r="AF51" s="7" t="str">
        <f>IF(COUNTIF(AF$3:AF$21,$B51&amp;" "&amp;$A51)&gt;=Description!AF7,"Passed", "Failed")</f>
        <v>Failed</v>
      </c>
      <c r="AG51" s="7" t="str">
        <f>IF(COUNTIF(AG$3:AG$21,$B51&amp;" "&amp;$A51)&gt;=Description!AG7,"Passed", "Failed")</f>
        <v>Failed</v>
      </c>
    </row>
    <row r="52" spans="1:33" x14ac:dyDescent="0.25">
      <c r="A52" s="13" t="s">
        <v>38</v>
      </c>
      <c r="B52" s="10" t="s">
        <v>37</v>
      </c>
      <c r="C52" s="7" t="str">
        <f>IF(COUNTIF(C$3:C$21,$B52&amp;" "&amp;$A52)&gt;=Description!C8,"Passed", "Failed")</f>
        <v>Failed</v>
      </c>
      <c r="D52" s="7" t="str">
        <f>IF(COUNTIF(D$3:D$21,$B52&amp;" "&amp;$A52)&gt;=Description!D8,"Passed", "Failed")</f>
        <v>Failed</v>
      </c>
      <c r="E52" s="7" t="str">
        <f>IF(COUNTIF(E$3:E$21,$B52&amp;" "&amp;$A52)&gt;=Description!E8,"Passed", "Failed")</f>
        <v>Failed</v>
      </c>
      <c r="F52" s="7" t="str">
        <f>IF(COUNTIF(F$3:F$21,$B52&amp;" "&amp;$A52)&gt;=Description!F8,"Passed", "Failed")</f>
        <v>Failed</v>
      </c>
      <c r="G52" s="7" t="str">
        <f>IF(COUNTIF(G$3:G$21,$B52&amp;" "&amp;$A52)&gt;=Description!G8,"Passed", "Failed")</f>
        <v>Failed</v>
      </c>
      <c r="H52" s="7" t="str">
        <f>IF(COUNTIF(H$3:H$21,$B52&amp;" "&amp;$A52)&gt;=Description!H8,"Passed", "Failed")</f>
        <v>Failed</v>
      </c>
      <c r="I52" s="7" t="str">
        <f>IF(COUNTIF(I$3:I$21,$B52&amp;" "&amp;$A52)&gt;=Description!I8,"Passed", "Failed")</f>
        <v>Failed</v>
      </c>
      <c r="J52" s="7" t="str">
        <f>IF(COUNTIF(J$3:J$21,$B52&amp;" "&amp;$A52)&gt;=Description!J8,"Passed", "Failed")</f>
        <v>Failed</v>
      </c>
      <c r="K52" s="7" t="str">
        <f>IF(COUNTIF(K$3:K$21,$B52&amp;" "&amp;$A52)&gt;=Description!K8,"Passed", "Failed")</f>
        <v>Failed</v>
      </c>
      <c r="L52" s="7" t="str">
        <f>IF(COUNTIF(L$3:L$21,$B52&amp;" "&amp;$A52)&gt;=Description!L8,"Passed", "Failed")</f>
        <v>Failed</v>
      </c>
      <c r="M52" s="7" t="str">
        <f>IF(COUNTIF(M$3:M$21,$B52&amp;" "&amp;$A52)&gt;=Description!M8,"Passed", "Failed")</f>
        <v>Failed</v>
      </c>
      <c r="N52" s="7" t="str">
        <f>IF(COUNTIF(N$3:N$21,$B52&amp;" "&amp;$A52)&gt;=Description!N8,"Passed", "Failed")</f>
        <v>Failed</v>
      </c>
      <c r="O52" s="7" t="str">
        <f>IF(COUNTIF(O$3:O$21,$B52&amp;" "&amp;$A52)&gt;=Description!O8,"Passed", "Failed")</f>
        <v>Failed</v>
      </c>
      <c r="P52" s="7" t="str">
        <f>IF(COUNTIF(P$3:P$21,$B52&amp;" "&amp;$A52)&gt;=Description!P8,"Passed", "Failed")</f>
        <v>Failed</v>
      </c>
      <c r="Q52" s="7" t="str">
        <f>IF(COUNTIF(Q$3:Q$21,$B52&amp;" "&amp;$A52)&gt;=Description!Q8,"Passed", "Failed")</f>
        <v>Failed</v>
      </c>
      <c r="R52" s="7" t="str">
        <f>IF(COUNTIF(R$3:R$21,$B52&amp;" "&amp;$A52)&gt;=Description!R8,"Passed", "Failed")</f>
        <v>Failed</v>
      </c>
      <c r="S52" s="7" t="str">
        <f>IF(COUNTIF(S$3:S$21,$B52&amp;" "&amp;$A52)&gt;=Description!S8,"Passed", "Failed")</f>
        <v>Failed</v>
      </c>
      <c r="T52" s="7" t="str">
        <f>IF(COUNTIF(T$3:T$21,$B52&amp;" "&amp;$A52)&gt;=Description!T8,"Passed", "Failed")</f>
        <v>Failed</v>
      </c>
      <c r="U52" s="7" t="str">
        <f>IF(COUNTIF(U$3:U$21,$B52&amp;" "&amp;$A52)&gt;=Description!U8,"Passed", "Failed")</f>
        <v>Failed</v>
      </c>
      <c r="V52" s="7" t="str">
        <f>IF(COUNTIF(V$3:V$21,$B52&amp;" "&amp;$A52)&gt;=Description!V8,"Passed", "Failed")</f>
        <v>Failed</v>
      </c>
      <c r="W52" s="7" t="str">
        <f>IF(COUNTIF(W$3:W$21,$B52&amp;" "&amp;$A52)&gt;=Description!W8,"Passed", "Failed")</f>
        <v>Failed</v>
      </c>
      <c r="X52" s="7" t="str">
        <f>IF(COUNTIF(X$3:X$21,$B52&amp;" "&amp;$A52)&gt;=Description!X8,"Passed", "Failed")</f>
        <v>Failed</v>
      </c>
      <c r="Y52" s="7" t="str">
        <f>IF(COUNTIF(Y$3:Y$21,$B52&amp;" "&amp;$A52)&gt;=Description!Y8,"Passed", "Failed")</f>
        <v>Failed</v>
      </c>
      <c r="Z52" s="7" t="str">
        <f>IF(COUNTIF(Z$3:Z$21,$B52&amp;" "&amp;$A52)&gt;=Description!Z8,"Passed", "Failed")</f>
        <v>Failed</v>
      </c>
      <c r="AA52" s="7" t="str">
        <f>IF(COUNTIF(AA$3:AA$21,$B52&amp;" "&amp;$A52)&gt;=Description!AA8,"Passed", "Failed")</f>
        <v>Failed</v>
      </c>
      <c r="AB52" s="7" t="str">
        <f>IF(COUNTIF(AB$3:AB$21,$B52&amp;" "&amp;$A52)&gt;=Description!AB8,"Passed", "Failed")</f>
        <v>Failed</v>
      </c>
      <c r="AC52" s="7" t="str">
        <f>IF(COUNTIF(AC$3:AC$21,$B52&amp;" "&amp;$A52)&gt;=Description!AC8,"Passed", "Failed")</f>
        <v>Failed</v>
      </c>
      <c r="AD52" s="7" t="str">
        <f>IF(COUNTIF(AD$3:AD$21,$B52&amp;" "&amp;$A52)&gt;=Description!AD8,"Passed", "Failed")</f>
        <v>Failed</v>
      </c>
      <c r="AE52" s="7" t="str">
        <f>IF(COUNTIF(AE$3:AE$21,$B52&amp;" "&amp;$A52)&gt;=Description!AE8,"Passed", "Failed")</f>
        <v>Failed</v>
      </c>
      <c r="AF52" s="7" t="str">
        <f>IF(COUNTIF(AF$3:AF$21,$B52&amp;" "&amp;$A52)&gt;=Description!AF8,"Passed", "Failed")</f>
        <v>Failed</v>
      </c>
      <c r="AG52" s="7" t="str">
        <f>IF(COUNTIF(AG$3:AG$21,$B52&amp;" "&amp;$A52)&gt;=Description!AG8,"Passed", "Failed")</f>
        <v>Failed</v>
      </c>
    </row>
    <row r="53" spans="1:33" x14ac:dyDescent="0.25">
      <c r="A53" s="12" t="s">
        <v>39</v>
      </c>
      <c r="B53" s="6" t="s">
        <v>35</v>
      </c>
      <c r="C53" s="7" t="str">
        <f>IF(COUNTIF(C$3:C$21,$B53&amp;" "&amp;$A53)&gt;=Description!C9,"Passed", "Failed")</f>
        <v>Failed</v>
      </c>
      <c r="D53" s="7" t="str">
        <f>IF(COUNTIF(D$3:D$21,$B53&amp;" "&amp;$A53)&gt;=Description!D9,"Passed", "Failed")</f>
        <v>Failed</v>
      </c>
      <c r="E53" s="7" t="str">
        <f>IF(COUNTIF(E$3:E$21,$B53&amp;" "&amp;$A53)&gt;=Description!E9,"Passed", "Failed")</f>
        <v>Failed</v>
      </c>
      <c r="F53" s="7" t="str">
        <f>IF(COUNTIF(F$3:F$21,$B53&amp;" "&amp;$A53)&gt;=Description!F9,"Passed", "Failed")</f>
        <v>Failed</v>
      </c>
      <c r="G53" s="7" t="str">
        <f>IF(COUNTIF(G$3:G$21,$B53&amp;" "&amp;$A53)&gt;=Description!G9,"Passed", "Failed")</f>
        <v>Failed</v>
      </c>
      <c r="H53" s="7" t="str">
        <f>IF(COUNTIF(H$3:H$21,$B53&amp;" "&amp;$A53)&gt;=Description!H9,"Passed", "Failed")</f>
        <v>Failed</v>
      </c>
      <c r="I53" s="7" t="str">
        <f>IF(COUNTIF(I$3:I$21,$B53&amp;" "&amp;$A53)&gt;=Description!I9,"Passed", "Failed")</f>
        <v>Failed</v>
      </c>
      <c r="J53" s="7" t="str">
        <f>IF(COUNTIF(J$3:J$21,$B53&amp;" "&amp;$A53)&gt;=Description!J9,"Passed", "Failed")</f>
        <v>Failed</v>
      </c>
      <c r="K53" s="7" t="str">
        <f>IF(COUNTIF(K$3:K$21,$B53&amp;" "&amp;$A53)&gt;=Description!K9,"Passed", "Failed")</f>
        <v>Failed</v>
      </c>
      <c r="L53" s="7" t="str">
        <f>IF(COUNTIF(L$3:L$21,$B53&amp;" "&amp;$A53)&gt;=Description!L9,"Passed", "Failed")</f>
        <v>Failed</v>
      </c>
      <c r="M53" s="7" t="str">
        <f>IF(COUNTIF(M$3:M$21,$B53&amp;" "&amp;$A53)&gt;=Description!M9,"Passed", "Failed")</f>
        <v>Failed</v>
      </c>
      <c r="N53" s="7" t="str">
        <f>IF(COUNTIF(N$3:N$21,$B53&amp;" "&amp;$A53)&gt;=Description!N9,"Passed", "Failed")</f>
        <v>Failed</v>
      </c>
      <c r="O53" s="7" t="str">
        <f>IF(COUNTIF(O$3:O$21,$B53&amp;" "&amp;$A53)&gt;=Description!O9,"Passed", "Failed")</f>
        <v>Failed</v>
      </c>
      <c r="P53" s="7" t="str">
        <f>IF(COUNTIF(P$3:P$21,$B53&amp;" "&amp;$A53)&gt;=Description!P9,"Passed", "Failed")</f>
        <v>Failed</v>
      </c>
      <c r="Q53" s="7" t="str">
        <f>IF(COUNTIF(Q$3:Q$21,$B53&amp;" "&amp;$A53)&gt;=Description!Q9,"Passed", "Failed")</f>
        <v>Failed</v>
      </c>
      <c r="R53" s="7" t="str">
        <f>IF(COUNTIF(R$3:R$21,$B53&amp;" "&amp;$A53)&gt;=Description!R9,"Passed", "Failed")</f>
        <v>Failed</v>
      </c>
      <c r="S53" s="7" t="str">
        <f>IF(COUNTIF(S$3:S$21,$B53&amp;" "&amp;$A53)&gt;=Description!S9,"Passed", "Failed")</f>
        <v>Failed</v>
      </c>
      <c r="T53" s="7" t="str">
        <f>IF(COUNTIF(T$3:T$21,$B53&amp;" "&amp;$A53)&gt;=Description!T9,"Passed", "Failed")</f>
        <v>Failed</v>
      </c>
      <c r="U53" s="7" t="str">
        <f>IF(COUNTIF(U$3:U$21,$B53&amp;" "&amp;$A53)&gt;=Description!U9,"Passed", "Failed")</f>
        <v>Failed</v>
      </c>
      <c r="V53" s="7" t="str">
        <f>IF(COUNTIF(V$3:V$21,$B53&amp;" "&amp;$A53)&gt;=Description!V9,"Passed", "Failed")</f>
        <v>Failed</v>
      </c>
      <c r="W53" s="7" t="str">
        <f>IF(COUNTIF(W$3:W$21,$B53&amp;" "&amp;$A53)&gt;=Description!W9,"Passed", "Failed")</f>
        <v>Failed</v>
      </c>
      <c r="X53" s="7" t="str">
        <f>IF(COUNTIF(X$3:X$21,$B53&amp;" "&amp;$A53)&gt;=Description!X9,"Passed", "Failed")</f>
        <v>Failed</v>
      </c>
      <c r="Y53" s="7" t="str">
        <f>IF(COUNTIF(Y$3:Y$21,$B53&amp;" "&amp;$A53)&gt;=Description!Y9,"Passed", "Failed")</f>
        <v>Failed</v>
      </c>
      <c r="Z53" s="7" t="str">
        <f>IF(COUNTIF(Z$3:Z$21,$B53&amp;" "&amp;$A53)&gt;=Description!Z9,"Passed", "Failed")</f>
        <v>Failed</v>
      </c>
      <c r="AA53" s="7" t="str">
        <f>IF(COUNTIF(AA$3:AA$21,$B53&amp;" "&amp;$A53)&gt;=Description!AA9,"Passed", "Failed")</f>
        <v>Failed</v>
      </c>
      <c r="AB53" s="7" t="str">
        <f>IF(COUNTIF(AB$3:AB$21,$B53&amp;" "&amp;$A53)&gt;=Description!AB9,"Passed", "Failed")</f>
        <v>Failed</v>
      </c>
      <c r="AC53" s="7" t="str">
        <f>IF(COUNTIF(AC$3:AC$21,$B53&amp;" "&amp;$A53)&gt;=Description!AC9,"Passed", "Failed")</f>
        <v>Failed</v>
      </c>
      <c r="AD53" s="7" t="str">
        <f>IF(COUNTIF(AD$3:AD$21,$B53&amp;" "&amp;$A53)&gt;=Description!AD9,"Passed", "Failed")</f>
        <v>Failed</v>
      </c>
      <c r="AE53" s="7" t="str">
        <f>IF(COUNTIF(AE$3:AE$21,$B53&amp;" "&amp;$A53)&gt;=Description!AE9,"Passed", "Failed")</f>
        <v>Failed</v>
      </c>
      <c r="AF53" s="7" t="str">
        <f>IF(COUNTIF(AF$3:AF$21,$B53&amp;" "&amp;$A53)&gt;=Description!AF9,"Passed", "Failed")</f>
        <v>Failed</v>
      </c>
      <c r="AG53" s="7" t="str">
        <f>IF(COUNTIF(AG$3:AG$21,$B53&amp;" "&amp;$A53)&gt;=Description!AG9,"Passed", "Failed")</f>
        <v>Failed</v>
      </c>
    </row>
    <row r="54" spans="1:33" x14ac:dyDescent="0.25">
      <c r="A54" s="14" t="s">
        <v>39</v>
      </c>
      <c r="B54" s="6" t="s">
        <v>36</v>
      </c>
      <c r="C54" s="7" t="str">
        <f>IF(COUNTIF(C$3:C$21,$B54&amp;" "&amp;$A54)&gt;=Description!C10,"Passed", "Failed")</f>
        <v>Failed</v>
      </c>
      <c r="D54" s="7" t="str">
        <f>IF(COUNTIF(D$3:D$21,$B54&amp;" "&amp;$A54)&gt;=Description!D10,"Passed", "Failed")</f>
        <v>Failed</v>
      </c>
      <c r="E54" s="7" t="str">
        <f>IF(COUNTIF(E$3:E$21,$B54&amp;" "&amp;$A54)&gt;=Description!E10,"Passed", "Failed")</f>
        <v>Failed</v>
      </c>
      <c r="F54" s="7" t="str">
        <f>IF(COUNTIF(F$3:F$21,$B54&amp;" "&amp;$A54)&gt;=Description!F10,"Passed", "Failed")</f>
        <v>Failed</v>
      </c>
      <c r="G54" s="7" t="str">
        <f>IF(COUNTIF(G$3:G$21,$B54&amp;" "&amp;$A54)&gt;=Description!G10,"Passed", "Failed")</f>
        <v>Failed</v>
      </c>
      <c r="H54" s="7" t="str">
        <f>IF(COUNTIF(H$3:H$21,$B54&amp;" "&amp;$A54)&gt;=Description!H10,"Passed", "Failed")</f>
        <v>Failed</v>
      </c>
      <c r="I54" s="7" t="str">
        <f>IF(COUNTIF(I$3:I$21,$B54&amp;" "&amp;$A54)&gt;=Description!I10,"Passed", "Failed")</f>
        <v>Failed</v>
      </c>
      <c r="J54" s="7" t="str">
        <f>IF(COUNTIF(J$3:J$21,$B54&amp;" "&amp;$A54)&gt;=Description!J10,"Passed", "Failed")</f>
        <v>Failed</v>
      </c>
      <c r="K54" s="7" t="str">
        <f>IF(COUNTIF(K$3:K$21,$B54&amp;" "&amp;$A54)&gt;=Description!K10,"Passed", "Failed")</f>
        <v>Failed</v>
      </c>
      <c r="L54" s="7" t="str">
        <f>IF(COUNTIF(L$3:L$21,$B54&amp;" "&amp;$A54)&gt;=Description!L10,"Passed", "Failed")</f>
        <v>Failed</v>
      </c>
      <c r="M54" s="7" t="str">
        <f>IF(COUNTIF(M$3:M$21,$B54&amp;" "&amp;$A54)&gt;=Description!M10,"Passed", "Failed")</f>
        <v>Failed</v>
      </c>
      <c r="N54" s="7" t="str">
        <f>IF(COUNTIF(N$3:N$21,$B54&amp;" "&amp;$A54)&gt;=Description!N10,"Passed", "Failed")</f>
        <v>Failed</v>
      </c>
      <c r="O54" s="7" t="str">
        <f>IF(COUNTIF(O$3:O$21,$B54&amp;" "&amp;$A54)&gt;=Description!O10,"Passed", "Failed")</f>
        <v>Failed</v>
      </c>
      <c r="P54" s="7" t="str">
        <f>IF(COUNTIF(P$3:P$21,$B54&amp;" "&amp;$A54)&gt;=Description!P10,"Passed", "Failed")</f>
        <v>Failed</v>
      </c>
      <c r="Q54" s="7" t="str">
        <f>IF(COUNTIF(Q$3:Q$21,$B54&amp;" "&amp;$A54)&gt;=Description!Q10,"Passed", "Failed")</f>
        <v>Failed</v>
      </c>
      <c r="R54" s="7" t="str">
        <f>IF(COUNTIF(R$3:R$21,$B54&amp;" "&amp;$A54)&gt;=Description!R10,"Passed", "Failed")</f>
        <v>Failed</v>
      </c>
      <c r="S54" s="7" t="str">
        <f>IF(COUNTIF(S$3:S$21,$B54&amp;" "&amp;$A54)&gt;=Description!S10,"Passed", "Failed")</f>
        <v>Failed</v>
      </c>
      <c r="T54" s="7" t="str">
        <f>IF(COUNTIF(T$3:T$21,$B54&amp;" "&amp;$A54)&gt;=Description!T10,"Passed", "Failed")</f>
        <v>Failed</v>
      </c>
      <c r="U54" s="7" t="str">
        <f>IF(COUNTIF(U$3:U$21,$B54&amp;" "&amp;$A54)&gt;=Description!U10,"Passed", "Failed")</f>
        <v>Failed</v>
      </c>
      <c r="V54" s="7" t="str">
        <f>IF(COUNTIF(V$3:V$21,$B54&amp;" "&amp;$A54)&gt;=Description!V10,"Passed", "Failed")</f>
        <v>Failed</v>
      </c>
      <c r="W54" s="7" t="str">
        <f>IF(COUNTIF(W$3:W$21,$B54&amp;" "&amp;$A54)&gt;=Description!W10,"Passed", "Failed")</f>
        <v>Failed</v>
      </c>
      <c r="X54" s="7" t="str">
        <f>IF(COUNTIF(X$3:X$21,$B54&amp;" "&amp;$A54)&gt;=Description!X10,"Passed", "Failed")</f>
        <v>Failed</v>
      </c>
      <c r="Y54" s="7" t="str">
        <f>IF(COUNTIF(Y$3:Y$21,$B54&amp;" "&amp;$A54)&gt;=Description!Y10,"Passed", "Failed")</f>
        <v>Failed</v>
      </c>
      <c r="Z54" s="7" t="str">
        <f>IF(COUNTIF(Z$3:Z$21,$B54&amp;" "&amp;$A54)&gt;=Description!Z10,"Passed", "Failed")</f>
        <v>Failed</v>
      </c>
      <c r="AA54" s="7" t="str">
        <f>IF(COUNTIF(AA$3:AA$21,$B54&amp;" "&amp;$A54)&gt;=Description!AA10,"Passed", "Failed")</f>
        <v>Failed</v>
      </c>
      <c r="AB54" s="7" t="str">
        <f>IF(COUNTIF(AB$3:AB$21,$B54&amp;" "&amp;$A54)&gt;=Description!AB10,"Passed", "Failed")</f>
        <v>Failed</v>
      </c>
      <c r="AC54" s="7" t="str">
        <f>IF(COUNTIF(AC$3:AC$21,$B54&amp;" "&amp;$A54)&gt;=Description!AC10,"Passed", "Failed")</f>
        <v>Failed</v>
      </c>
      <c r="AD54" s="7" t="str">
        <f>IF(COUNTIF(AD$3:AD$21,$B54&amp;" "&amp;$A54)&gt;=Description!AD10,"Passed", "Failed")</f>
        <v>Failed</v>
      </c>
      <c r="AE54" s="7" t="str">
        <f>IF(COUNTIF(AE$3:AE$21,$B54&amp;" "&amp;$A54)&gt;=Description!AE10,"Passed", "Failed")</f>
        <v>Failed</v>
      </c>
      <c r="AF54" s="7" t="str">
        <f>IF(COUNTIF(AF$3:AF$21,$B54&amp;" "&amp;$A54)&gt;=Description!AF10,"Passed", "Failed")</f>
        <v>Failed</v>
      </c>
      <c r="AG54" s="7" t="str">
        <f>IF(COUNTIF(AG$3:AG$21,$B54&amp;" "&amp;$A54)&gt;=Description!AG10,"Passed", "Failed")</f>
        <v>Failed</v>
      </c>
    </row>
    <row r="55" spans="1:33" x14ac:dyDescent="0.25">
      <c r="A55" s="14" t="s">
        <v>39</v>
      </c>
      <c r="B55" s="10" t="s">
        <v>37</v>
      </c>
      <c r="C55" s="7" t="str">
        <f>IF(COUNTIF(C$3:C$21,$B55&amp;" "&amp;$A55)&gt;=Description!C11,"Passed", "Failed")</f>
        <v>Failed</v>
      </c>
      <c r="D55" s="7" t="str">
        <f>IF(COUNTIF(D$3:D$21,$B55&amp;" "&amp;$A55)&gt;=Description!D11,"Passed", "Failed")</f>
        <v>Failed</v>
      </c>
      <c r="E55" s="7" t="str">
        <f>IF(COUNTIF(E$3:E$21,$B55&amp;" "&amp;$A55)&gt;=Description!E11,"Passed", "Failed")</f>
        <v>Failed</v>
      </c>
      <c r="F55" s="7" t="str">
        <f>IF(COUNTIF(F$3:F$21,$B55&amp;" "&amp;$A55)&gt;=Description!F11,"Passed", "Failed")</f>
        <v>Failed</v>
      </c>
      <c r="G55" s="7" t="str">
        <f>IF(COUNTIF(G$3:G$21,$B55&amp;" "&amp;$A55)&gt;=Description!G11,"Passed", "Failed")</f>
        <v>Failed</v>
      </c>
      <c r="H55" s="7" t="str">
        <f>IF(COUNTIF(H$3:H$21,$B55&amp;" "&amp;$A55)&gt;=Description!H11,"Passed", "Failed")</f>
        <v>Failed</v>
      </c>
      <c r="I55" s="7" t="str">
        <f>IF(COUNTIF(I$3:I$21,$B55&amp;" "&amp;$A55)&gt;=Description!I11,"Passed", "Failed")</f>
        <v>Failed</v>
      </c>
      <c r="J55" s="7" t="str">
        <f>IF(COUNTIF(J$3:J$21,$B55&amp;" "&amp;$A55)&gt;=Description!J11,"Passed", "Failed")</f>
        <v>Failed</v>
      </c>
      <c r="K55" s="7" t="str">
        <f>IF(COUNTIF(K$3:K$21,$B55&amp;" "&amp;$A55)&gt;=Description!K11,"Passed", "Failed")</f>
        <v>Failed</v>
      </c>
      <c r="L55" s="7" t="str">
        <f>IF(COUNTIF(L$3:L$21,$B55&amp;" "&amp;$A55)&gt;=Description!L11,"Passed", "Failed")</f>
        <v>Failed</v>
      </c>
      <c r="M55" s="7" t="str">
        <f>IF(COUNTIF(M$3:M$21,$B55&amp;" "&amp;$A55)&gt;=Description!M11,"Passed", "Failed")</f>
        <v>Failed</v>
      </c>
      <c r="N55" s="7" t="str">
        <f>IF(COUNTIF(N$3:N$21,$B55&amp;" "&amp;$A55)&gt;=Description!N11,"Passed", "Failed")</f>
        <v>Failed</v>
      </c>
      <c r="O55" s="7" t="str">
        <f>IF(COUNTIF(O$3:O$21,$B55&amp;" "&amp;$A55)&gt;=Description!O11,"Passed", "Failed")</f>
        <v>Failed</v>
      </c>
      <c r="P55" s="7" t="str">
        <f>IF(COUNTIF(P$3:P$21,$B55&amp;" "&amp;$A55)&gt;=Description!P11,"Passed", "Failed")</f>
        <v>Failed</v>
      </c>
      <c r="Q55" s="7" t="str">
        <f>IF(COUNTIF(Q$3:Q$21,$B55&amp;" "&amp;$A55)&gt;=Description!Q11,"Passed", "Failed")</f>
        <v>Failed</v>
      </c>
      <c r="R55" s="7" t="str">
        <f>IF(COUNTIF(R$3:R$21,$B55&amp;" "&amp;$A55)&gt;=Description!R11,"Passed", "Failed")</f>
        <v>Failed</v>
      </c>
      <c r="S55" s="7" t="str">
        <f>IF(COUNTIF(S$3:S$21,$B55&amp;" "&amp;$A55)&gt;=Description!S11,"Passed", "Failed")</f>
        <v>Failed</v>
      </c>
      <c r="T55" s="7" t="str">
        <f>IF(COUNTIF(T$3:T$21,$B55&amp;" "&amp;$A55)&gt;=Description!T11,"Passed", "Failed")</f>
        <v>Failed</v>
      </c>
      <c r="U55" s="7" t="str">
        <f>IF(COUNTIF(U$3:U$21,$B55&amp;" "&amp;$A55)&gt;=Description!U11,"Passed", "Failed")</f>
        <v>Failed</v>
      </c>
      <c r="V55" s="7" t="str">
        <f>IF(COUNTIF(V$3:V$21,$B55&amp;" "&amp;$A55)&gt;=Description!V11,"Passed", "Failed")</f>
        <v>Failed</v>
      </c>
      <c r="W55" s="7" t="str">
        <f>IF(COUNTIF(W$3:W$21,$B55&amp;" "&amp;$A55)&gt;=Description!W11,"Passed", "Failed")</f>
        <v>Failed</v>
      </c>
      <c r="X55" s="7" t="str">
        <f>IF(COUNTIF(X$3:X$21,$B55&amp;" "&amp;$A55)&gt;=Description!X11,"Passed", "Failed")</f>
        <v>Failed</v>
      </c>
      <c r="Y55" s="7" t="str">
        <f>IF(COUNTIF(Y$3:Y$21,$B55&amp;" "&amp;$A55)&gt;=Description!Y11,"Passed", "Failed")</f>
        <v>Failed</v>
      </c>
      <c r="Z55" s="7" t="str">
        <f>IF(COUNTIF(Z$3:Z$21,$B55&amp;" "&amp;$A55)&gt;=Description!Z11,"Passed", "Failed")</f>
        <v>Failed</v>
      </c>
      <c r="AA55" s="7" t="str">
        <f>IF(COUNTIF(AA$3:AA$21,$B55&amp;" "&amp;$A55)&gt;=Description!AA11,"Passed", "Failed")</f>
        <v>Failed</v>
      </c>
      <c r="AB55" s="7" t="str">
        <f>IF(COUNTIF(AB$3:AB$21,$B55&amp;" "&amp;$A55)&gt;=Description!AB11,"Passed", "Failed")</f>
        <v>Failed</v>
      </c>
      <c r="AC55" s="7" t="str">
        <f>IF(COUNTIF(AC$3:AC$21,$B55&amp;" "&amp;$A55)&gt;=Description!AC11,"Passed", "Failed")</f>
        <v>Failed</v>
      </c>
      <c r="AD55" s="7" t="str">
        <f>IF(COUNTIF(AD$3:AD$21,$B55&amp;" "&amp;$A55)&gt;=Description!AD11,"Passed", "Failed")</f>
        <v>Failed</v>
      </c>
      <c r="AE55" s="7" t="str">
        <f>IF(COUNTIF(AE$3:AE$21,$B55&amp;" "&amp;$A55)&gt;=Description!AE11,"Passed", "Failed")</f>
        <v>Failed</v>
      </c>
      <c r="AF55" s="7" t="str">
        <f>IF(COUNTIF(AF$3:AF$21,$B55&amp;" "&amp;$A55)&gt;=Description!AF11,"Passed", "Failed")</f>
        <v>Failed</v>
      </c>
      <c r="AG55" s="7" t="str">
        <f>IF(COUNTIF(AG$3:AG$21,$B55&amp;" "&amp;$A55)&gt;=Description!AG11,"Passed", "Failed")</f>
        <v>Failed</v>
      </c>
    </row>
    <row r="56" spans="1:33" x14ac:dyDescent="0.25">
      <c r="A56" s="12" t="s">
        <v>40</v>
      </c>
      <c r="B56" s="6" t="s">
        <v>35</v>
      </c>
      <c r="C56" s="7" t="str">
        <f>IF(COUNTIF(C$3:C$21,$B56&amp;" "&amp;$A56)&gt;=Description!C12,"Passed", "Failed")</f>
        <v>Failed</v>
      </c>
      <c r="D56" s="7" t="str">
        <f>IF(COUNTIF(D$3:D$21,$B56&amp;" "&amp;$A56)&gt;=Description!D12,"Passed", "Failed")</f>
        <v>Failed</v>
      </c>
      <c r="E56" s="7" t="str">
        <f>IF(COUNTIF(E$3:E$21,$B56&amp;" "&amp;$A56)&gt;=Description!E12,"Passed", "Failed")</f>
        <v>Failed</v>
      </c>
      <c r="F56" s="7" t="str">
        <f>IF(COUNTIF(F$3:F$21,$B56&amp;" "&amp;$A56)&gt;=Description!F12,"Passed", "Failed")</f>
        <v>Failed</v>
      </c>
      <c r="G56" s="7" t="str">
        <f>IF(COUNTIF(G$3:G$21,$B56&amp;" "&amp;$A56)&gt;=Description!G12,"Passed", "Failed")</f>
        <v>Failed</v>
      </c>
      <c r="H56" s="7" t="str">
        <f>IF(COUNTIF(H$3:H$21,$B56&amp;" "&amp;$A56)&gt;=Description!H12,"Passed", "Failed")</f>
        <v>Failed</v>
      </c>
      <c r="I56" s="7" t="str">
        <f>IF(COUNTIF(I$3:I$21,$B56&amp;" "&amp;$A56)&gt;=Description!I12,"Passed", "Failed")</f>
        <v>Failed</v>
      </c>
      <c r="J56" s="7" t="str">
        <f>IF(COUNTIF(J$3:J$21,$B56&amp;" "&amp;$A56)&gt;=Description!J12,"Passed", "Failed")</f>
        <v>Failed</v>
      </c>
      <c r="K56" s="7" t="str">
        <f>IF(COUNTIF(K$3:K$21,$B56&amp;" "&amp;$A56)&gt;=Description!K12,"Passed", "Failed")</f>
        <v>Failed</v>
      </c>
      <c r="L56" s="7" t="str">
        <f>IF(COUNTIF(L$3:L$21,$B56&amp;" "&amp;$A56)&gt;=Description!L12,"Passed", "Failed")</f>
        <v>Failed</v>
      </c>
      <c r="M56" s="7" t="str">
        <f>IF(COUNTIF(M$3:M$21,$B56&amp;" "&amp;$A56)&gt;=Description!M12,"Passed", "Failed")</f>
        <v>Failed</v>
      </c>
      <c r="N56" s="7" t="str">
        <f>IF(COUNTIF(N$3:N$21,$B56&amp;" "&amp;$A56)&gt;=Description!N12,"Passed", "Failed")</f>
        <v>Failed</v>
      </c>
      <c r="O56" s="7" t="str">
        <f>IF(COUNTIF(O$3:O$21,$B56&amp;" "&amp;$A56)&gt;=Description!O12,"Passed", "Failed")</f>
        <v>Failed</v>
      </c>
      <c r="P56" s="7" t="str">
        <f>IF(COUNTIF(P$3:P$21,$B56&amp;" "&amp;$A56)&gt;=Description!P12,"Passed", "Failed")</f>
        <v>Failed</v>
      </c>
      <c r="Q56" s="7" t="str">
        <f>IF(COUNTIF(Q$3:Q$21,$B56&amp;" "&amp;$A56)&gt;=Description!Q12,"Passed", "Failed")</f>
        <v>Failed</v>
      </c>
      <c r="R56" s="7" t="str">
        <f>IF(COUNTIF(R$3:R$21,$B56&amp;" "&amp;$A56)&gt;=Description!R12,"Passed", "Failed")</f>
        <v>Failed</v>
      </c>
      <c r="S56" s="7" t="str">
        <f>IF(COUNTIF(S$3:S$21,$B56&amp;" "&amp;$A56)&gt;=Description!S12,"Passed", "Failed")</f>
        <v>Failed</v>
      </c>
      <c r="T56" s="7" t="str">
        <f>IF(COUNTIF(T$3:T$21,$B56&amp;" "&amp;$A56)&gt;=Description!T12,"Passed", "Failed")</f>
        <v>Failed</v>
      </c>
      <c r="U56" s="7" t="str">
        <f>IF(COUNTIF(U$3:U$21,$B56&amp;" "&amp;$A56)&gt;=Description!U12,"Passed", "Failed")</f>
        <v>Failed</v>
      </c>
      <c r="V56" s="7" t="str">
        <f>IF(COUNTIF(V$3:V$21,$B56&amp;" "&amp;$A56)&gt;=Description!V12,"Passed", "Failed")</f>
        <v>Failed</v>
      </c>
      <c r="W56" s="7" t="str">
        <f>IF(COUNTIF(W$3:W$21,$B56&amp;" "&amp;$A56)&gt;=Description!W12,"Passed", "Failed")</f>
        <v>Failed</v>
      </c>
      <c r="X56" s="7" t="str">
        <f>IF(COUNTIF(X$3:X$21,$B56&amp;" "&amp;$A56)&gt;=Description!X12,"Passed", "Failed")</f>
        <v>Failed</v>
      </c>
      <c r="Y56" s="7" t="str">
        <f>IF(COUNTIF(Y$3:Y$21,$B56&amp;" "&amp;$A56)&gt;=Description!Y12,"Passed", "Failed")</f>
        <v>Failed</v>
      </c>
      <c r="Z56" s="7" t="str">
        <f>IF(COUNTIF(Z$3:Z$21,$B56&amp;" "&amp;$A56)&gt;=Description!Z12,"Passed", "Failed")</f>
        <v>Failed</v>
      </c>
      <c r="AA56" s="7" t="str">
        <f>IF(COUNTIF(AA$3:AA$21,$B56&amp;" "&amp;$A56)&gt;=Description!AA12,"Passed", "Failed")</f>
        <v>Failed</v>
      </c>
      <c r="AB56" s="7" t="str">
        <f>IF(COUNTIF(AB$3:AB$21,$B56&amp;" "&amp;$A56)&gt;=Description!AB12,"Passed", "Failed")</f>
        <v>Failed</v>
      </c>
      <c r="AC56" s="7" t="str">
        <f>IF(COUNTIF(AC$3:AC$21,$B56&amp;" "&amp;$A56)&gt;=Description!AC12,"Passed", "Failed")</f>
        <v>Failed</v>
      </c>
      <c r="AD56" s="7" t="str">
        <f>IF(COUNTIF(AD$3:AD$21,$B56&amp;" "&amp;$A56)&gt;=Description!AD12,"Passed", "Failed")</f>
        <v>Failed</v>
      </c>
      <c r="AE56" s="7" t="str">
        <f>IF(COUNTIF(AE$3:AE$21,$B56&amp;" "&amp;$A56)&gt;=Description!AE12,"Passed", "Failed")</f>
        <v>Failed</v>
      </c>
      <c r="AF56" s="7" t="str">
        <f>IF(COUNTIF(AF$3:AF$21,$B56&amp;" "&amp;$A56)&gt;=Description!AF12,"Passed", "Failed")</f>
        <v>Failed</v>
      </c>
      <c r="AG56" s="7" t="str">
        <f>IF(COUNTIF(AG$3:AG$21,$B56&amp;" "&amp;$A56)&gt;=Description!AG12,"Passed", "Failed")</f>
        <v>Failed</v>
      </c>
    </row>
    <row r="57" spans="1:33" x14ac:dyDescent="0.25">
      <c r="A57" s="15" t="s">
        <v>40</v>
      </c>
      <c r="B57" s="6" t="s">
        <v>36</v>
      </c>
      <c r="C57" s="7" t="str">
        <f>IF(COUNTIF(C$3:C$21,$B57&amp;" "&amp;$A57)&gt;=Description!C13,"Passed", "Failed")</f>
        <v>Failed</v>
      </c>
      <c r="D57" s="7" t="str">
        <f>IF(COUNTIF(D$3:D$21,$B57&amp;" "&amp;$A57)&gt;=Description!D13,"Passed", "Failed")</f>
        <v>Failed</v>
      </c>
      <c r="E57" s="7" t="str">
        <f>IF(COUNTIF(E$3:E$21,$B57&amp;" "&amp;$A57)&gt;=Description!E13,"Passed", "Failed")</f>
        <v>Failed</v>
      </c>
      <c r="F57" s="7" t="str">
        <f>IF(COUNTIF(F$3:F$21,$B57&amp;" "&amp;$A57)&gt;=Description!F13,"Passed", "Failed")</f>
        <v>Failed</v>
      </c>
      <c r="G57" s="7" t="str">
        <f>IF(COUNTIF(G$3:G$21,$B57&amp;" "&amp;$A57)&gt;=Description!G13,"Passed", "Failed")</f>
        <v>Failed</v>
      </c>
      <c r="H57" s="7" t="str">
        <f>IF(COUNTIF(H$3:H$21,$B57&amp;" "&amp;$A57)&gt;=Description!H13,"Passed", "Failed")</f>
        <v>Failed</v>
      </c>
      <c r="I57" s="7" t="str">
        <f>IF(COUNTIF(I$3:I$21,$B57&amp;" "&amp;$A57)&gt;=Description!I13,"Passed", "Failed")</f>
        <v>Failed</v>
      </c>
      <c r="J57" s="7" t="str">
        <f>IF(COUNTIF(J$3:J$21,$B57&amp;" "&amp;$A57)&gt;=Description!J13,"Passed", "Failed")</f>
        <v>Failed</v>
      </c>
      <c r="K57" s="7" t="str">
        <f>IF(COUNTIF(K$3:K$21,$B57&amp;" "&amp;$A57)&gt;=Description!K13,"Passed", "Failed")</f>
        <v>Failed</v>
      </c>
      <c r="L57" s="7" t="str">
        <f>IF(COUNTIF(L$3:L$21,$B57&amp;" "&amp;$A57)&gt;=Description!L13,"Passed", "Failed")</f>
        <v>Failed</v>
      </c>
      <c r="M57" s="7" t="str">
        <f>IF(COUNTIF(M$3:M$21,$B57&amp;" "&amp;$A57)&gt;=Description!M13,"Passed", "Failed")</f>
        <v>Failed</v>
      </c>
      <c r="N57" s="7" t="str">
        <f>IF(COUNTIF(N$3:N$21,$B57&amp;" "&amp;$A57)&gt;=Description!N13,"Passed", "Failed")</f>
        <v>Failed</v>
      </c>
      <c r="O57" s="7" t="str">
        <f>IF(COUNTIF(O$3:O$21,$B57&amp;" "&amp;$A57)&gt;=Description!O13,"Passed", "Failed")</f>
        <v>Failed</v>
      </c>
      <c r="P57" s="7" t="str">
        <f>IF(COUNTIF(P$3:P$21,$B57&amp;" "&amp;$A57)&gt;=Description!P13,"Passed", "Failed")</f>
        <v>Failed</v>
      </c>
      <c r="Q57" s="7" t="str">
        <f>IF(COUNTIF(Q$3:Q$21,$B57&amp;" "&amp;$A57)&gt;=Description!Q13,"Passed", "Failed")</f>
        <v>Failed</v>
      </c>
      <c r="R57" s="7" t="str">
        <f>IF(COUNTIF(R$3:R$21,$B57&amp;" "&amp;$A57)&gt;=Description!R13,"Passed", "Failed")</f>
        <v>Failed</v>
      </c>
      <c r="S57" s="7" t="str">
        <f>IF(COUNTIF(S$3:S$21,$B57&amp;" "&amp;$A57)&gt;=Description!S13,"Passed", "Failed")</f>
        <v>Failed</v>
      </c>
      <c r="T57" s="7" t="str">
        <f>IF(COUNTIF(T$3:T$21,$B57&amp;" "&amp;$A57)&gt;=Description!T13,"Passed", "Failed")</f>
        <v>Failed</v>
      </c>
      <c r="U57" s="7" t="str">
        <f>IF(COUNTIF(U$3:U$21,$B57&amp;" "&amp;$A57)&gt;=Description!U13,"Passed", "Failed")</f>
        <v>Failed</v>
      </c>
      <c r="V57" s="7" t="str">
        <f>IF(COUNTIF(V$3:V$21,$B57&amp;" "&amp;$A57)&gt;=Description!V13,"Passed", "Failed")</f>
        <v>Failed</v>
      </c>
      <c r="W57" s="7" t="str">
        <f>IF(COUNTIF(W$3:W$21,$B57&amp;" "&amp;$A57)&gt;=Description!W13,"Passed", "Failed")</f>
        <v>Failed</v>
      </c>
      <c r="X57" s="7" t="str">
        <f>IF(COUNTIF(X$3:X$21,$B57&amp;" "&amp;$A57)&gt;=Description!X13,"Passed", "Failed")</f>
        <v>Failed</v>
      </c>
      <c r="Y57" s="7" t="str">
        <f>IF(COUNTIF(Y$3:Y$21,$B57&amp;" "&amp;$A57)&gt;=Description!Y13,"Passed", "Failed")</f>
        <v>Failed</v>
      </c>
      <c r="Z57" s="7" t="str">
        <f>IF(COUNTIF(Z$3:Z$21,$B57&amp;" "&amp;$A57)&gt;=Description!Z13,"Passed", "Failed")</f>
        <v>Failed</v>
      </c>
      <c r="AA57" s="7" t="str">
        <f>IF(COUNTIF(AA$3:AA$21,$B57&amp;" "&amp;$A57)&gt;=Description!AA13,"Passed", "Failed")</f>
        <v>Failed</v>
      </c>
      <c r="AB57" s="7" t="str">
        <f>IF(COUNTIF(AB$3:AB$21,$B57&amp;" "&amp;$A57)&gt;=Description!AB13,"Passed", "Failed")</f>
        <v>Failed</v>
      </c>
      <c r="AC57" s="7" t="str">
        <f>IF(COUNTIF(AC$3:AC$21,$B57&amp;" "&amp;$A57)&gt;=Description!AC13,"Passed", "Failed")</f>
        <v>Failed</v>
      </c>
      <c r="AD57" s="7" t="str">
        <f>IF(COUNTIF(AD$3:AD$21,$B57&amp;" "&amp;$A57)&gt;=Description!AD13,"Passed", "Failed")</f>
        <v>Failed</v>
      </c>
      <c r="AE57" s="7" t="str">
        <f>IF(COUNTIF(AE$3:AE$21,$B57&amp;" "&amp;$A57)&gt;=Description!AE13,"Passed", "Failed")</f>
        <v>Failed</v>
      </c>
      <c r="AF57" s="7" t="str">
        <f>IF(COUNTIF(AF$3:AF$21,$B57&amp;" "&amp;$A57)&gt;=Description!AF13,"Passed", "Failed")</f>
        <v>Failed</v>
      </c>
      <c r="AG57" s="7" t="str">
        <f>IF(COUNTIF(AG$3:AG$21,$B57&amp;" "&amp;$A57)&gt;=Description!AG13,"Passed", "Failed")</f>
        <v>Failed</v>
      </c>
    </row>
    <row r="58" spans="1:33" x14ac:dyDescent="0.25">
      <c r="A58" s="16" t="s">
        <v>40</v>
      </c>
      <c r="B58" s="10" t="s">
        <v>37</v>
      </c>
      <c r="C58" s="7" t="str">
        <f>IF(COUNTIF(C$3:C$21,$B58&amp;" "&amp;$A58)&gt;=Description!C14,"Passed", "Failed")</f>
        <v>Failed</v>
      </c>
      <c r="D58" s="7" t="str">
        <f>IF(COUNTIF(D$3:D$21,$B58&amp;" "&amp;$A58)&gt;=Description!D14,"Passed", "Failed")</f>
        <v>Failed</v>
      </c>
      <c r="E58" s="7" t="str">
        <f>IF(COUNTIF(E$3:E$21,$B58&amp;" "&amp;$A58)&gt;=Description!E14,"Passed", "Failed")</f>
        <v>Failed</v>
      </c>
      <c r="F58" s="7" t="str">
        <f>IF(COUNTIF(F$3:F$21,$B58&amp;" "&amp;$A58)&gt;=Description!F14,"Passed", "Failed")</f>
        <v>Failed</v>
      </c>
      <c r="G58" s="7" t="str">
        <f>IF(COUNTIF(G$3:G$21,$B58&amp;" "&amp;$A58)&gt;=Description!G14,"Passed", "Failed")</f>
        <v>Failed</v>
      </c>
      <c r="H58" s="7" t="str">
        <f>IF(COUNTIF(H$3:H$21,$B58&amp;" "&amp;$A58)&gt;=Description!H14,"Passed", "Failed")</f>
        <v>Failed</v>
      </c>
      <c r="I58" s="7" t="str">
        <f>IF(COUNTIF(I$3:I$21,$B58&amp;" "&amp;$A58)&gt;=Description!I14,"Passed", "Failed")</f>
        <v>Failed</v>
      </c>
      <c r="J58" s="7" t="str">
        <f>IF(COUNTIF(J$3:J$21,$B58&amp;" "&amp;$A58)&gt;=Description!J14,"Passed", "Failed")</f>
        <v>Failed</v>
      </c>
      <c r="K58" s="7" t="str">
        <f>IF(COUNTIF(K$3:K$21,$B58&amp;" "&amp;$A58)&gt;=Description!K14,"Passed", "Failed")</f>
        <v>Failed</v>
      </c>
      <c r="L58" s="7" t="str">
        <f>IF(COUNTIF(L$3:L$21,$B58&amp;" "&amp;$A58)&gt;=Description!L14,"Passed", "Failed")</f>
        <v>Failed</v>
      </c>
      <c r="M58" s="7" t="str">
        <f>IF(COUNTIF(M$3:M$21,$B58&amp;" "&amp;$A58)&gt;=Description!M14,"Passed", "Failed")</f>
        <v>Failed</v>
      </c>
      <c r="N58" s="7" t="str">
        <f>IF(COUNTIF(N$3:N$21,$B58&amp;" "&amp;$A58)&gt;=Description!N14,"Passed", "Failed")</f>
        <v>Failed</v>
      </c>
      <c r="O58" s="7" t="str">
        <f>IF(COUNTIF(O$3:O$21,$B58&amp;" "&amp;$A58)&gt;=Description!O14,"Passed", "Failed")</f>
        <v>Failed</v>
      </c>
      <c r="P58" s="7" t="str">
        <f>IF(COUNTIF(P$3:P$21,$B58&amp;" "&amp;$A58)&gt;=Description!P14,"Passed", "Failed")</f>
        <v>Failed</v>
      </c>
      <c r="Q58" s="7" t="str">
        <f>IF(COUNTIF(Q$3:Q$21,$B58&amp;" "&amp;$A58)&gt;=Description!Q14,"Passed", "Failed")</f>
        <v>Failed</v>
      </c>
      <c r="R58" s="7" t="str">
        <f>IF(COUNTIF(R$3:R$21,$B58&amp;" "&amp;$A58)&gt;=Description!R14,"Passed", "Failed")</f>
        <v>Failed</v>
      </c>
      <c r="S58" s="7" t="str">
        <f>IF(COUNTIF(S$3:S$21,$B58&amp;" "&amp;$A58)&gt;=Description!S14,"Passed", "Failed")</f>
        <v>Failed</v>
      </c>
      <c r="T58" s="7" t="str">
        <f>IF(COUNTIF(T$3:T$21,$B58&amp;" "&amp;$A58)&gt;=Description!T14,"Passed", "Failed")</f>
        <v>Failed</v>
      </c>
      <c r="U58" s="7" t="str">
        <f>IF(COUNTIF(U$3:U$21,$B58&amp;" "&amp;$A58)&gt;=Description!U14,"Passed", "Failed")</f>
        <v>Failed</v>
      </c>
      <c r="V58" s="7" t="str">
        <f>IF(COUNTIF(V$3:V$21,$B58&amp;" "&amp;$A58)&gt;=Description!V14,"Passed", "Failed")</f>
        <v>Failed</v>
      </c>
      <c r="W58" s="7" t="str">
        <f>IF(COUNTIF(W$3:W$21,$B58&amp;" "&amp;$A58)&gt;=Description!W14,"Passed", "Failed")</f>
        <v>Failed</v>
      </c>
      <c r="X58" s="7" t="str">
        <f>IF(COUNTIF(X$3:X$21,$B58&amp;" "&amp;$A58)&gt;=Description!X14,"Passed", "Failed")</f>
        <v>Failed</v>
      </c>
      <c r="Y58" s="7" t="str">
        <f>IF(COUNTIF(Y$3:Y$21,$B58&amp;" "&amp;$A58)&gt;=Description!Y14,"Passed", "Failed")</f>
        <v>Failed</v>
      </c>
      <c r="Z58" s="7" t="str">
        <f>IF(COUNTIF(Z$3:Z$21,$B58&amp;" "&amp;$A58)&gt;=Description!Z14,"Passed", "Failed")</f>
        <v>Failed</v>
      </c>
      <c r="AA58" s="7" t="str">
        <f>IF(COUNTIF(AA$3:AA$21,$B58&amp;" "&amp;$A58)&gt;=Description!AA14,"Passed", "Failed")</f>
        <v>Failed</v>
      </c>
      <c r="AB58" s="7" t="str">
        <f>IF(COUNTIF(AB$3:AB$21,$B58&amp;" "&amp;$A58)&gt;=Description!AB14,"Passed", "Failed")</f>
        <v>Failed</v>
      </c>
      <c r="AC58" s="7" t="str">
        <f>IF(COUNTIF(AC$3:AC$21,$B58&amp;" "&amp;$A58)&gt;=Description!AC14,"Passed", "Failed")</f>
        <v>Failed</v>
      </c>
      <c r="AD58" s="7" t="str">
        <f>IF(COUNTIF(AD$3:AD$21,$B58&amp;" "&amp;$A58)&gt;=Description!AD14,"Passed", "Failed")</f>
        <v>Failed</v>
      </c>
      <c r="AE58" s="7" t="str">
        <f>IF(COUNTIF(AE$3:AE$21,$B58&amp;" "&amp;$A58)&gt;=Description!AE14,"Passed", "Failed")</f>
        <v>Failed</v>
      </c>
      <c r="AF58" s="7" t="str">
        <f>IF(COUNTIF(AF$3:AF$21,$B58&amp;" "&amp;$A58)&gt;=Description!AF14,"Passed", "Failed")</f>
        <v>Failed</v>
      </c>
      <c r="AG58" s="7" t="str">
        <f>IF(COUNTIF(AG$3:AG$21,$B58&amp;" "&amp;$A58)&gt;=Description!AG14,"Passed", "Failed")</f>
        <v>Failed</v>
      </c>
    </row>
    <row r="60" spans="1:33" x14ac:dyDescent="0.25">
      <c r="A60" s="1" t="s">
        <v>69</v>
      </c>
    </row>
    <row r="61" spans="1:33" x14ac:dyDescent="0.25">
      <c r="A61" s="25" t="s">
        <v>48</v>
      </c>
      <c r="B61" s="26" t="str" cm="1">
        <f t="array" ref="B61">IFERROR(IF(ROUNDUP(SUMPRODUCT(1/COUNTIF(C61:AG61,C61:AG61)),0)&lt;=2, "Passed", "Failed"),"Failed")</f>
        <v>Passed</v>
      </c>
      <c r="C61" s="7" t="str">
        <f>IF(LEN(C3)=1,"",RIGHT(C3,LEN(C3)-2))</f>
        <v/>
      </c>
      <c r="D61" s="7" t="str">
        <f t="shared" ref="D61:AG69" si="0">IF(LEN(D3)=1,"",RIGHT(D3,LEN(D3)-2))</f>
        <v/>
      </c>
      <c r="E61" s="7" t="str">
        <f t="shared" si="0"/>
        <v/>
      </c>
      <c r="F61" s="7" t="str">
        <f t="shared" si="0"/>
        <v/>
      </c>
      <c r="G61" s="7" t="str">
        <f t="shared" si="0"/>
        <v/>
      </c>
      <c r="H61" s="7" t="str">
        <f t="shared" si="0"/>
        <v/>
      </c>
      <c r="I61" s="7" t="str">
        <f t="shared" si="0"/>
        <v/>
      </c>
      <c r="J61" s="7" t="str">
        <f t="shared" si="0"/>
        <v/>
      </c>
      <c r="K61" s="7" t="str">
        <f t="shared" si="0"/>
        <v/>
      </c>
      <c r="L61" s="7" t="str">
        <f t="shared" si="0"/>
        <v/>
      </c>
      <c r="M61" s="7" t="str">
        <f t="shared" si="0"/>
        <v/>
      </c>
      <c r="N61" s="7" t="str">
        <f t="shared" si="0"/>
        <v/>
      </c>
      <c r="O61" s="7" t="str">
        <f t="shared" si="0"/>
        <v/>
      </c>
      <c r="P61" s="7" t="str">
        <f t="shared" si="0"/>
        <v/>
      </c>
      <c r="Q61" s="7" t="str">
        <f t="shared" si="0"/>
        <v/>
      </c>
      <c r="R61" s="7" t="str">
        <f t="shared" si="0"/>
        <v/>
      </c>
      <c r="S61" s="7" t="str">
        <f t="shared" si="0"/>
        <v/>
      </c>
      <c r="T61" s="7" t="str">
        <f t="shared" si="0"/>
        <v/>
      </c>
      <c r="U61" s="7" t="str">
        <f t="shared" si="0"/>
        <v/>
      </c>
      <c r="V61" s="7" t="str">
        <f t="shared" si="0"/>
        <v/>
      </c>
      <c r="W61" s="7" t="str">
        <f t="shared" si="0"/>
        <v/>
      </c>
      <c r="X61" s="7" t="str">
        <f t="shared" si="0"/>
        <v/>
      </c>
      <c r="Y61" s="7" t="str">
        <f t="shared" si="0"/>
        <v/>
      </c>
      <c r="Z61" s="7" t="str">
        <f t="shared" si="0"/>
        <v/>
      </c>
      <c r="AA61" s="7" t="str">
        <f t="shared" si="0"/>
        <v/>
      </c>
      <c r="AB61" s="7" t="str">
        <f t="shared" si="0"/>
        <v/>
      </c>
      <c r="AC61" s="7" t="str">
        <f t="shared" si="0"/>
        <v/>
      </c>
      <c r="AD61" s="7" t="str">
        <f t="shared" si="0"/>
        <v/>
      </c>
      <c r="AE61" s="7" t="str">
        <f t="shared" si="0"/>
        <v/>
      </c>
      <c r="AF61" s="7" t="str">
        <f t="shared" si="0"/>
        <v/>
      </c>
      <c r="AG61" s="7" t="str">
        <f t="shared" si="0"/>
        <v/>
      </c>
    </row>
    <row r="62" spans="1:33" x14ac:dyDescent="0.25">
      <c r="A62" s="22" t="s">
        <v>50</v>
      </c>
      <c r="B62" s="26" t="str" cm="1">
        <f t="array" ref="B62">IFERROR(IF(ROUNDUP(SUMPRODUCT(1/COUNTIF(C62:AG62,C62:AG62)),0)&lt;=2, "Passed", "Failed"),"Failed")</f>
        <v>Passed</v>
      </c>
      <c r="C62" s="7" t="str">
        <f t="shared" ref="C62:R79" si="1">IF(LEN(C4)=1,"",RIGHT(C4,LEN(C4)-2))</f>
        <v/>
      </c>
      <c r="D62" s="7" t="str">
        <f t="shared" si="1"/>
        <v/>
      </c>
      <c r="E62" s="7" t="str">
        <f t="shared" si="1"/>
        <v/>
      </c>
      <c r="F62" s="7" t="str">
        <f t="shared" si="1"/>
        <v/>
      </c>
      <c r="G62" s="7" t="str">
        <f t="shared" si="1"/>
        <v/>
      </c>
      <c r="H62" s="7" t="str">
        <f t="shared" si="1"/>
        <v/>
      </c>
      <c r="I62" s="7" t="str">
        <f t="shared" si="1"/>
        <v/>
      </c>
      <c r="J62" s="7" t="str">
        <f t="shared" si="1"/>
        <v/>
      </c>
      <c r="K62" s="7" t="str">
        <f t="shared" si="1"/>
        <v/>
      </c>
      <c r="L62" s="7" t="str">
        <f t="shared" si="1"/>
        <v/>
      </c>
      <c r="M62" s="7" t="str">
        <f t="shared" si="1"/>
        <v/>
      </c>
      <c r="N62" s="7" t="str">
        <f t="shared" si="1"/>
        <v/>
      </c>
      <c r="O62" s="7" t="str">
        <f t="shared" si="1"/>
        <v/>
      </c>
      <c r="P62" s="7" t="str">
        <f t="shared" si="1"/>
        <v/>
      </c>
      <c r="Q62" s="7" t="str">
        <f t="shared" si="1"/>
        <v/>
      </c>
      <c r="R62" s="7" t="str">
        <f t="shared" si="1"/>
        <v/>
      </c>
      <c r="S62" s="7" t="str">
        <f t="shared" si="0"/>
        <v/>
      </c>
      <c r="T62" s="7" t="str">
        <f t="shared" si="0"/>
        <v/>
      </c>
      <c r="U62" s="7" t="str">
        <f t="shared" si="0"/>
        <v/>
      </c>
      <c r="V62" s="7" t="str">
        <f t="shared" si="0"/>
        <v/>
      </c>
      <c r="W62" s="7" t="str">
        <f t="shared" si="0"/>
        <v/>
      </c>
      <c r="X62" s="7" t="str">
        <f t="shared" si="0"/>
        <v/>
      </c>
      <c r="Y62" s="7" t="str">
        <f t="shared" si="0"/>
        <v/>
      </c>
      <c r="Z62" s="7" t="str">
        <f t="shared" si="0"/>
        <v/>
      </c>
      <c r="AA62" s="7" t="str">
        <f t="shared" si="0"/>
        <v/>
      </c>
      <c r="AB62" s="7" t="str">
        <f t="shared" si="0"/>
        <v/>
      </c>
      <c r="AC62" s="7" t="str">
        <f t="shared" si="0"/>
        <v/>
      </c>
      <c r="AD62" s="7" t="str">
        <f t="shared" si="0"/>
        <v/>
      </c>
      <c r="AE62" s="7" t="str">
        <f t="shared" si="0"/>
        <v/>
      </c>
      <c r="AF62" s="7" t="str">
        <f t="shared" si="0"/>
        <v/>
      </c>
      <c r="AG62" s="7" t="str">
        <f t="shared" si="0"/>
        <v/>
      </c>
    </row>
    <row r="63" spans="1:33" x14ac:dyDescent="0.25">
      <c r="A63" s="22" t="s">
        <v>51</v>
      </c>
      <c r="B63" s="26" t="str" cm="1">
        <f t="array" ref="B63">IFERROR(IF(ROUNDUP(SUMPRODUCT(1/COUNTIF(C63:AG63,C63:AG63)),0)&lt;=2, "Passed", "Failed"),"Failed")</f>
        <v>Passed</v>
      </c>
      <c r="C63" s="7" t="str">
        <f t="shared" si="1"/>
        <v/>
      </c>
      <c r="D63" s="7" t="str">
        <f t="shared" si="0"/>
        <v/>
      </c>
      <c r="E63" s="7" t="str">
        <f t="shared" si="0"/>
        <v/>
      </c>
      <c r="F63" s="7" t="str">
        <f t="shared" si="0"/>
        <v/>
      </c>
      <c r="G63" s="7" t="str">
        <f t="shared" si="0"/>
        <v/>
      </c>
      <c r="H63" s="7" t="str">
        <f t="shared" si="0"/>
        <v/>
      </c>
      <c r="I63" s="7" t="str">
        <f t="shared" si="0"/>
        <v/>
      </c>
      <c r="J63" s="7" t="str">
        <f t="shared" si="0"/>
        <v/>
      </c>
      <c r="K63" s="7" t="str">
        <f t="shared" si="0"/>
        <v/>
      </c>
      <c r="L63" s="7" t="str">
        <f t="shared" si="0"/>
        <v/>
      </c>
      <c r="M63" s="7" t="str">
        <f t="shared" si="0"/>
        <v/>
      </c>
      <c r="N63" s="7" t="str">
        <f t="shared" si="0"/>
        <v/>
      </c>
      <c r="O63" s="7" t="str">
        <f t="shared" si="0"/>
        <v/>
      </c>
      <c r="P63" s="7" t="str">
        <f t="shared" si="0"/>
        <v/>
      </c>
      <c r="Q63" s="7" t="str">
        <f t="shared" si="0"/>
        <v/>
      </c>
      <c r="R63" s="7" t="str">
        <f t="shared" si="0"/>
        <v/>
      </c>
      <c r="S63" s="7" t="str">
        <f t="shared" si="0"/>
        <v/>
      </c>
      <c r="T63" s="7" t="str">
        <f t="shared" si="0"/>
        <v/>
      </c>
      <c r="U63" s="7" t="str">
        <f t="shared" si="0"/>
        <v/>
      </c>
      <c r="V63" s="7" t="str">
        <f t="shared" si="0"/>
        <v/>
      </c>
      <c r="W63" s="7" t="str">
        <f t="shared" si="0"/>
        <v/>
      </c>
      <c r="X63" s="7" t="str">
        <f t="shared" si="0"/>
        <v/>
      </c>
      <c r="Y63" s="7" t="str">
        <f t="shared" si="0"/>
        <v/>
      </c>
      <c r="Z63" s="7" t="str">
        <f t="shared" si="0"/>
        <v/>
      </c>
      <c r="AA63" s="7" t="str">
        <f t="shared" si="0"/>
        <v/>
      </c>
      <c r="AB63" s="7" t="str">
        <f t="shared" si="0"/>
        <v/>
      </c>
      <c r="AC63" s="7" t="str">
        <f t="shared" si="0"/>
        <v/>
      </c>
      <c r="AD63" s="7" t="str">
        <f t="shared" si="0"/>
        <v/>
      </c>
      <c r="AE63" s="7" t="str">
        <f t="shared" si="0"/>
        <v/>
      </c>
      <c r="AF63" s="7" t="str">
        <f t="shared" si="0"/>
        <v/>
      </c>
      <c r="AG63" s="7" t="str">
        <f t="shared" si="0"/>
        <v/>
      </c>
    </row>
    <row r="64" spans="1:33" x14ac:dyDescent="0.25">
      <c r="A64" s="22" t="s">
        <v>52</v>
      </c>
      <c r="B64" s="26" t="str" cm="1">
        <f t="array" ref="B64">IFERROR(IF(ROUNDUP(SUMPRODUCT(1/COUNTIF(C64:AG64,C64:AG64)),0)&lt;=2, "Passed", "Failed"),"Failed")</f>
        <v>Passed</v>
      </c>
      <c r="C64" s="7" t="str">
        <f t="shared" si="1"/>
        <v/>
      </c>
      <c r="D64" s="7" t="str">
        <f t="shared" si="0"/>
        <v/>
      </c>
      <c r="E64" s="7" t="str">
        <f t="shared" si="0"/>
        <v/>
      </c>
      <c r="F64" s="7" t="str">
        <f t="shared" si="0"/>
        <v/>
      </c>
      <c r="G64" s="7" t="str">
        <f t="shared" si="0"/>
        <v/>
      </c>
      <c r="H64" s="7" t="str">
        <f t="shared" si="0"/>
        <v/>
      </c>
      <c r="I64" s="7" t="str">
        <f t="shared" si="0"/>
        <v/>
      </c>
      <c r="J64" s="7" t="str">
        <f t="shared" si="0"/>
        <v/>
      </c>
      <c r="K64" s="7" t="str">
        <f t="shared" si="0"/>
        <v/>
      </c>
      <c r="L64" s="7" t="str">
        <f t="shared" si="0"/>
        <v/>
      </c>
      <c r="M64" s="7" t="str">
        <f t="shared" si="0"/>
        <v/>
      </c>
      <c r="N64" s="7" t="str">
        <f t="shared" si="0"/>
        <v/>
      </c>
      <c r="O64" s="7" t="str">
        <f t="shared" si="0"/>
        <v/>
      </c>
      <c r="P64" s="7" t="str">
        <f t="shared" si="0"/>
        <v/>
      </c>
      <c r="Q64" s="7" t="str">
        <f t="shared" si="0"/>
        <v/>
      </c>
      <c r="R64" s="7" t="str">
        <f t="shared" si="0"/>
        <v/>
      </c>
      <c r="S64" s="7" t="str">
        <f t="shared" si="0"/>
        <v/>
      </c>
      <c r="T64" s="7" t="str">
        <f t="shared" si="0"/>
        <v/>
      </c>
      <c r="U64" s="7" t="str">
        <f t="shared" si="0"/>
        <v/>
      </c>
      <c r="V64" s="7" t="str">
        <f t="shared" si="0"/>
        <v/>
      </c>
      <c r="W64" s="7" t="str">
        <f t="shared" si="0"/>
        <v/>
      </c>
      <c r="X64" s="7" t="str">
        <f t="shared" si="0"/>
        <v/>
      </c>
      <c r="Y64" s="7" t="str">
        <f t="shared" si="0"/>
        <v/>
      </c>
      <c r="Z64" s="7" t="str">
        <f t="shared" si="0"/>
        <v/>
      </c>
      <c r="AA64" s="7" t="str">
        <f t="shared" si="0"/>
        <v/>
      </c>
      <c r="AB64" s="7" t="str">
        <f t="shared" si="0"/>
        <v/>
      </c>
      <c r="AC64" s="7" t="str">
        <f t="shared" si="0"/>
        <v/>
      </c>
      <c r="AD64" s="7" t="str">
        <f t="shared" si="0"/>
        <v/>
      </c>
      <c r="AE64" s="7" t="str">
        <f t="shared" si="0"/>
        <v/>
      </c>
      <c r="AF64" s="7" t="str">
        <f t="shared" si="0"/>
        <v/>
      </c>
      <c r="AG64" s="7" t="str">
        <f t="shared" si="0"/>
        <v/>
      </c>
    </row>
    <row r="65" spans="1:33" x14ac:dyDescent="0.25">
      <c r="A65" s="22" t="s">
        <v>53</v>
      </c>
      <c r="B65" s="26" t="str" cm="1">
        <f t="array" ref="B65">IFERROR(IF(ROUNDUP(SUMPRODUCT(1/COUNTIF(C65:AG65,C65:AG65)),0)&lt;=2, "Passed", "Failed"),"Failed")</f>
        <v>Passed</v>
      </c>
      <c r="C65" s="7" t="str">
        <f t="shared" si="1"/>
        <v/>
      </c>
      <c r="D65" s="7" t="str">
        <f t="shared" si="0"/>
        <v/>
      </c>
      <c r="E65" s="7" t="str">
        <f t="shared" si="0"/>
        <v/>
      </c>
      <c r="F65" s="7" t="str">
        <f t="shared" si="0"/>
        <v/>
      </c>
      <c r="G65" s="7" t="str">
        <f t="shared" si="0"/>
        <v/>
      </c>
      <c r="H65" s="7" t="str">
        <f t="shared" si="0"/>
        <v/>
      </c>
      <c r="I65" s="7" t="str">
        <f t="shared" si="0"/>
        <v/>
      </c>
      <c r="J65" s="7" t="str">
        <f t="shared" si="0"/>
        <v/>
      </c>
      <c r="K65" s="7" t="str">
        <f t="shared" si="0"/>
        <v/>
      </c>
      <c r="L65" s="7" t="str">
        <f t="shared" si="0"/>
        <v/>
      </c>
      <c r="M65" s="7" t="str">
        <f t="shared" si="0"/>
        <v/>
      </c>
      <c r="N65" s="7" t="str">
        <f t="shared" si="0"/>
        <v/>
      </c>
      <c r="O65" s="7" t="str">
        <f t="shared" si="0"/>
        <v/>
      </c>
      <c r="P65" s="7" t="str">
        <f t="shared" si="0"/>
        <v/>
      </c>
      <c r="Q65" s="7" t="str">
        <f t="shared" si="0"/>
        <v/>
      </c>
      <c r="R65" s="7" t="str">
        <f t="shared" si="0"/>
        <v/>
      </c>
      <c r="S65" s="7" t="str">
        <f t="shared" si="0"/>
        <v/>
      </c>
      <c r="T65" s="7" t="str">
        <f t="shared" si="0"/>
        <v/>
      </c>
      <c r="U65" s="7" t="str">
        <f t="shared" si="0"/>
        <v/>
      </c>
      <c r="V65" s="7" t="str">
        <f t="shared" si="0"/>
        <v/>
      </c>
      <c r="W65" s="7" t="str">
        <f t="shared" si="0"/>
        <v/>
      </c>
      <c r="X65" s="7" t="str">
        <f t="shared" si="0"/>
        <v/>
      </c>
      <c r="Y65" s="7" t="str">
        <f t="shared" si="0"/>
        <v/>
      </c>
      <c r="Z65" s="7" t="str">
        <f t="shared" si="0"/>
        <v/>
      </c>
      <c r="AA65" s="7" t="str">
        <f t="shared" si="0"/>
        <v/>
      </c>
      <c r="AB65" s="7" t="str">
        <f t="shared" si="0"/>
        <v/>
      </c>
      <c r="AC65" s="7" t="str">
        <f t="shared" si="0"/>
        <v/>
      </c>
      <c r="AD65" s="7" t="str">
        <f t="shared" si="0"/>
        <v/>
      </c>
      <c r="AE65" s="7" t="str">
        <f t="shared" si="0"/>
        <v/>
      </c>
      <c r="AF65" s="7" t="str">
        <f t="shared" si="0"/>
        <v/>
      </c>
      <c r="AG65" s="7" t="str">
        <f t="shared" si="0"/>
        <v/>
      </c>
    </row>
    <row r="66" spans="1:33" x14ac:dyDescent="0.25">
      <c r="A66" s="22" t="s">
        <v>54</v>
      </c>
      <c r="B66" s="26" t="str" cm="1">
        <f t="array" ref="B66">IFERROR(IF(ROUNDUP(SUMPRODUCT(1/COUNTIF(C66:AG66,C66:AG66)),0)&lt;=2, "Passed", "Failed"),"Failed")</f>
        <v>Passed</v>
      </c>
      <c r="C66" s="7" t="str">
        <f t="shared" si="1"/>
        <v/>
      </c>
      <c r="D66" s="7" t="str">
        <f t="shared" si="0"/>
        <v/>
      </c>
      <c r="E66" s="7" t="str">
        <f t="shared" si="0"/>
        <v/>
      </c>
      <c r="F66" s="7" t="str">
        <f t="shared" si="0"/>
        <v/>
      </c>
      <c r="G66" s="7" t="str">
        <f t="shared" si="0"/>
        <v/>
      </c>
      <c r="H66" s="7" t="str">
        <f t="shared" si="0"/>
        <v/>
      </c>
      <c r="I66" s="7" t="str">
        <f t="shared" si="0"/>
        <v/>
      </c>
      <c r="J66" s="7" t="str">
        <f t="shared" si="0"/>
        <v/>
      </c>
      <c r="K66" s="7" t="str">
        <f t="shared" si="0"/>
        <v/>
      </c>
      <c r="L66" s="7" t="str">
        <f t="shared" si="0"/>
        <v/>
      </c>
      <c r="M66" s="7" t="str">
        <f t="shared" si="0"/>
        <v/>
      </c>
      <c r="N66" s="7" t="str">
        <f t="shared" si="0"/>
        <v/>
      </c>
      <c r="O66" s="7" t="str">
        <f t="shared" si="0"/>
        <v/>
      </c>
      <c r="P66" s="7" t="str">
        <f t="shared" si="0"/>
        <v/>
      </c>
      <c r="Q66" s="7" t="str">
        <f t="shared" si="0"/>
        <v/>
      </c>
      <c r="R66" s="7" t="str">
        <f t="shared" si="0"/>
        <v/>
      </c>
      <c r="S66" s="7" t="str">
        <f t="shared" si="0"/>
        <v/>
      </c>
      <c r="T66" s="7" t="str">
        <f t="shared" si="0"/>
        <v/>
      </c>
      <c r="U66" s="7" t="str">
        <f t="shared" si="0"/>
        <v/>
      </c>
      <c r="V66" s="7" t="str">
        <f t="shared" si="0"/>
        <v/>
      </c>
      <c r="W66" s="7" t="str">
        <f t="shared" si="0"/>
        <v/>
      </c>
      <c r="X66" s="7" t="str">
        <f t="shared" si="0"/>
        <v/>
      </c>
      <c r="Y66" s="7" t="str">
        <f t="shared" si="0"/>
        <v/>
      </c>
      <c r="Z66" s="7" t="str">
        <f t="shared" si="0"/>
        <v/>
      </c>
      <c r="AA66" s="7" t="str">
        <f t="shared" si="0"/>
        <v/>
      </c>
      <c r="AB66" s="7" t="str">
        <f t="shared" si="0"/>
        <v/>
      </c>
      <c r="AC66" s="7" t="str">
        <f t="shared" si="0"/>
        <v/>
      </c>
      <c r="AD66" s="7" t="str">
        <f t="shared" si="0"/>
        <v/>
      </c>
      <c r="AE66" s="7" t="str">
        <f t="shared" si="0"/>
        <v/>
      </c>
      <c r="AF66" s="7" t="str">
        <f t="shared" si="0"/>
        <v/>
      </c>
      <c r="AG66" s="7" t="str">
        <f t="shared" si="0"/>
        <v/>
      </c>
    </row>
    <row r="67" spans="1:33" x14ac:dyDescent="0.25">
      <c r="A67" s="22" t="s">
        <v>55</v>
      </c>
      <c r="B67" s="26" t="str" cm="1">
        <f t="array" ref="B67">IFERROR(IF(ROUNDUP(SUMPRODUCT(1/COUNTIF(C67:AG67,C67:AG67)),0)&lt;=2, "Passed", "Failed"),"Failed")</f>
        <v>Passed</v>
      </c>
      <c r="C67" s="7" t="str">
        <f t="shared" si="1"/>
        <v/>
      </c>
      <c r="D67" s="7" t="str">
        <f t="shared" si="0"/>
        <v/>
      </c>
      <c r="E67" s="7" t="str">
        <f t="shared" si="0"/>
        <v/>
      </c>
      <c r="F67" s="7" t="str">
        <f t="shared" si="0"/>
        <v/>
      </c>
      <c r="G67" s="7" t="str">
        <f t="shared" si="0"/>
        <v/>
      </c>
      <c r="H67" s="7" t="str">
        <f t="shared" si="0"/>
        <v/>
      </c>
      <c r="I67" s="7" t="str">
        <f t="shared" si="0"/>
        <v/>
      </c>
      <c r="J67" s="7" t="str">
        <f t="shared" si="0"/>
        <v/>
      </c>
      <c r="K67" s="7" t="str">
        <f t="shared" si="0"/>
        <v/>
      </c>
      <c r="L67" s="7" t="str">
        <f t="shared" si="0"/>
        <v/>
      </c>
      <c r="M67" s="7" t="str">
        <f t="shared" si="0"/>
        <v/>
      </c>
      <c r="N67" s="7" t="str">
        <f t="shared" si="0"/>
        <v/>
      </c>
      <c r="O67" s="7" t="str">
        <f t="shared" si="0"/>
        <v/>
      </c>
      <c r="P67" s="7" t="str">
        <f t="shared" si="0"/>
        <v/>
      </c>
      <c r="Q67" s="7" t="str">
        <f t="shared" si="0"/>
        <v/>
      </c>
      <c r="R67" s="7" t="str">
        <f t="shared" si="0"/>
        <v/>
      </c>
      <c r="S67" s="7" t="str">
        <f t="shared" si="0"/>
        <v/>
      </c>
      <c r="T67" s="7" t="str">
        <f t="shared" si="0"/>
        <v/>
      </c>
      <c r="U67" s="7" t="str">
        <f t="shared" si="0"/>
        <v/>
      </c>
      <c r="V67" s="7" t="str">
        <f t="shared" si="0"/>
        <v/>
      </c>
      <c r="W67" s="7" t="str">
        <f t="shared" si="0"/>
        <v/>
      </c>
      <c r="X67" s="7" t="str">
        <f t="shared" si="0"/>
        <v/>
      </c>
      <c r="Y67" s="7" t="str">
        <f t="shared" si="0"/>
        <v/>
      </c>
      <c r="Z67" s="7" t="str">
        <f t="shared" si="0"/>
        <v/>
      </c>
      <c r="AA67" s="7" t="str">
        <f t="shared" si="0"/>
        <v/>
      </c>
      <c r="AB67" s="7" t="str">
        <f t="shared" si="0"/>
        <v/>
      </c>
      <c r="AC67" s="7" t="str">
        <f t="shared" si="0"/>
        <v/>
      </c>
      <c r="AD67" s="7" t="str">
        <f t="shared" si="0"/>
        <v/>
      </c>
      <c r="AE67" s="7" t="str">
        <f t="shared" si="0"/>
        <v/>
      </c>
      <c r="AF67" s="7" t="str">
        <f t="shared" si="0"/>
        <v/>
      </c>
      <c r="AG67" s="7" t="str">
        <f t="shared" si="0"/>
        <v/>
      </c>
    </row>
    <row r="68" spans="1:33" x14ac:dyDescent="0.25">
      <c r="A68" s="22" t="s">
        <v>56</v>
      </c>
      <c r="B68" s="26" t="str" cm="1">
        <f t="array" ref="B68">IFERROR(IF(ROUNDUP(SUMPRODUCT(1/COUNTIF(C68:AG68,C68:AG68)),0)&lt;=2, "Passed", "Failed"),"Failed")</f>
        <v>Passed</v>
      </c>
      <c r="C68" s="7" t="str">
        <f t="shared" si="1"/>
        <v/>
      </c>
      <c r="D68" s="7" t="str">
        <f t="shared" si="0"/>
        <v/>
      </c>
      <c r="E68" s="7" t="str">
        <f t="shared" si="0"/>
        <v/>
      </c>
      <c r="F68" s="7" t="str">
        <f t="shared" si="0"/>
        <v/>
      </c>
      <c r="G68" s="7" t="str">
        <f t="shared" si="0"/>
        <v/>
      </c>
      <c r="H68" s="7" t="str">
        <f t="shared" si="0"/>
        <v/>
      </c>
      <c r="I68" s="7" t="str">
        <f t="shared" si="0"/>
        <v/>
      </c>
      <c r="J68" s="7" t="str">
        <f t="shared" si="0"/>
        <v/>
      </c>
      <c r="K68" s="7" t="str">
        <f t="shared" si="0"/>
        <v/>
      </c>
      <c r="L68" s="7" t="str">
        <f t="shared" si="0"/>
        <v/>
      </c>
      <c r="M68" s="7" t="str">
        <f t="shared" si="0"/>
        <v/>
      </c>
      <c r="N68" s="7" t="str">
        <f t="shared" si="0"/>
        <v/>
      </c>
      <c r="O68" s="7" t="str">
        <f t="shared" si="0"/>
        <v/>
      </c>
      <c r="P68" s="7" t="str">
        <f t="shared" si="0"/>
        <v/>
      </c>
      <c r="Q68" s="7" t="str">
        <f t="shared" si="0"/>
        <v/>
      </c>
      <c r="R68" s="7" t="str">
        <f t="shared" si="0"/>
        <v/>
      </c>
      <c r="S68" s="7" t="str">
        <f t="shared" si="0"/>
        <v/>
      </c>
      <c r="T68" s="7" t="str">
        <f t="shared" si="0"/>
        <v/>
      </c>
      <c r="U68" s="7" t="str">
        <f t="shared" si="0"/>
        <v/>
      </c>
      <c r="V68" s="7" t="str">
        <f t="shared" si="0"/>
        <v/>
      </c>
      <c r="W68" s="7" t="str">
        <f t="shared" si="0"/>
        <v/>
      </c>
      <c r="X68" s="7" t="str">
        <f t="shared" si="0"/>
        <v/>
      </c>
      <c r="Y68" s="7" t="str">
        <f t="shared" si="0"/>
        <v/>
      </c>
      <c r="Z68" s="7" t="str">
        <f t="shared" si="0"/>
        <v/>
      </c>
      <c r="AA68" s="7" t="str">
        <f t="shared" si="0"/>
        <v/>
      </c>
      <c r="AB68" s="7" t="str">
        <f t="shared" si="0"/>
        <v/>
      </c>
      <c r="AC68" s="7" t="str">
        <f t="shared" si="0"/>
        <v/>
      </c>
      <c r="AD68" s="7" t="str">
        <f t="shared" si="0"/>
        <v/>
      </c>
      <c r="AE68" s="7" t="str">
        <f t="shared" si="0"/>
        <v/>
      </c>
      <c r="AF68" s="7" t="str">
        <f t="shared" si="0"/>
        <v/>
      </c>
      <c r="AG68" s="7" t="str">
        <f t="shared" si="0"/>
        <v/>
      </c>
    </row>
    <row r="69" spans="1:33" x14ac:dyDescent="0.25">
      <c r="A69" s="22" t="s">
        <v>57</v>
      </c>
      <c r="B69" s="26" t="str" cm="1">
        <f t="array" ref="B69">IFERROR(IF(ROUNDUP(SUMPRODUCT(1/COUNTIF(C69:AG69,C69:AG69)),0)&lt;=2, "Passed", "Failed"),"Failed")</f>
        <v>Passed</v>
      </c>
      <c r="C69" s="7" t="str">
        <f t="shared" si="1"/>
        <v/>
      </c>
      <c r="D69" s="7" t="str">
        <f t="shared" si="0"/>
        <v/>
      </c>
      <c r="E69" s="7" t="str">
        <f t="shared" si="0"/>
        <v/>
      </c>
      <c r="F69" s="7" t="str">
        <f t="shared" si="0"/>
        <v/>
      </c>
      <c r="G69" s="7" t="str">
        <f t="shared" si="0"/>
        <v/>
      </c>
      <c r="H69" s="7" t="str">
        <f t="shared" si="0"/>
        <v/>
      </c>
      <c r="I69" s="7" t="str">
        <f t="shared" si="0"/>
        <v/>
      </c>
      <c r="J69" s="7" t="str">
        <f t="shared" si="0"/>
        <v/>
      </c>
      <c r="K69" s="7" t="str">
        <f t="shared" si="0"/>
        <v/>
      </c>
      <c r="L69" s="7" t="str">
        <f t="shared" si="0"/>
        <v/>
      </c>
      <c r="M69" s="7" t="str">
        <f t="shared" si="0"/>
        <v/>
      </c>
      <c r="N69" s="7" t="str">
        <f t="shared" si="0"/>
        <v/>
      </c>
      <c r="O69" s="7" t="str">
        <f t="shared" si="0"/>
        <v/>
      </c>
      <c r="P69" s="7" t="str">
        <f t="shared" si="0"/>
        <v/>
      </c>
      <c r="Q69" s="7" t="str">
        <f t="shared" si="0"/>
        <v/>
      </c>
      <c r="R69" s="7" t="str">
        <f t="shared" si="0"/>
        <v/>
      </c>
      <c r="S69" s="7" t="str">
        <f t="shared" si="0"/>
        <v/>
      </c>
      <c r="T69" s="7" t="str">
        <f t="shared" si="0"/>
        <v/>
      </c>
      <c r="U69" s="7" t="str">
        <f t="shared" si="0"/>
        <v/>
      </c>
      <c r="V69" s="7" t="str">
        <f t="shared" si="0"/>
        <v/>
      </c>
      <c r="W69" s="7" t="str">
        <f t="shared" si="0"/>
        <v/>
      </c>
      <c r="X69" s="7" t="str">
        <f t="shared" si="0"/>
        <v/>
      </c>
      <c r="Y69" s="7" t="str">
        <f t="shared" si="0"/>
        <v/>
      </c>
      <c r="Z69" s="7" t="str">
        <f t="shared" si="0"/>
        <v/>
      </c>
      <c r="AA69" s="7" t="str">
        <f t="shared" si="0"/>
        <v/>
      </c>
      <c r="AB69" s="7" t="str">
        <f t="shared" si="0"/>
        <v/>
      </c>
      <c r="AC69" s="7" t="str">
        <f t="shared" si="0"/>
        <v/>
      </c>
      <c r="AD69" s="7" t="str">
        <f t="shared" si="0"/>
        <v/>
      </c>
      <c r="AE69" s="7" t="str">
        <f t="shared" si="0"/>
        <v/>
      </c>
      <c r="AF69" s="7" t="str">
        <f t="shared" si="0"/>
        <v/>
      </c>
      <c r="AG69" s="7" t="str">
        <f t="shared" si="0"/>
        <v/>
      </c>
    </row>
    <row r="70" spans="1:33" x14ac:dyDescent="0.25">
      <c r="A70" s="22" t="s">
        <v>58</v>
      </c>
      <c r="B70" s="26" t="str" cm="1">
        <f t="array" ref="B70">IFERROR(IF(ROUNDUP(SUMPRODUCT(1/COUNTIF(C70:AG70,C70:AG70)),0)&lt;=2, "Passed", "Failed"),"Failed")</f>
        <v>Passed</v>
      </c>
      <c r="C70" s="7" t="str">
        <f t="shared" si="1"/>
        <v/>
      </c>
      <c r="D70" s="7" t="str">
        <f t="shared" ref="D70:AG78" si="2">IF(LEN(D12)=1,"",RIGHT(D12,LEN(D12)-2))</f>
        <v/>
      </c>
      <c r="E70" s="7" t="str">
        <f t="shared" si="2"/>
        <v/>
      </c>
      <c r="F70" s="7" t="str">
        <f t="shared" si="2"/>
        <v/>
      </c>
      <c r="G70" s="7" t="str">
        <f t="shared" si="2"/>
        <v/>
      </c>
      <c r="H70" s="7" t="str">
        <f t="shared" si="2"/>
        <v/>
      </c>
      <c r="I70" s="7" t="str">
        <f t="shared" si="2"/>
        <v/>
      </c>
      <c r="J70" s="7" t="str">
        <f t="shared" si="2"/>
        <v/>
      </c>
      <c r="K70" s="7" t="str">
        <f t="shared" si="2"/>
        <v/>
      </c>
      <c r="L70" s="7" t="str">
        <f t="shared" si="2"/>
        <v/>
      </c>
      <c r="M70" s="7" t="str">
        <f t="shared" si="2"/>
        <v/>
      </c>
      <c r="N70" s="7" t="str">
        <f t="shared" si="2"/>
        <v/>
      </c>
      <c r="O70" s="7" t="str">
        <f t="shared" si="2"/>
        <v/>
      </c>
      <c r="P70" s="7" t="str">
        <f t="shared" si="2"/>
        <v/>
      </c>
      <c r="Q70" s="7" t="str">
        <f t="shared" si="2"/>
        <v/>
      </c>
      <c r="R70" s="7" t="str">
        <f t="shared" si="2"/>
        <v/>
      </c>
      <c r="S70" s="7" t="str">
        <f t="shared" si="2"/>
        <v/>
      </c>
      <c r="T70" s="7" t="str">
        <f t="shared" si="2"/>
        <v/>
      </c>
      <c r="U70" s="7" t="str">
        <f t="shared" si="2"/>
        <v/>
      </c>
      <c r="V70" s="7" t="str">
        <f t="shared" si="2"/>
        <v/>
      </c>
      <c r="W70" s="7" t="str">
        <f t="shared" si="2"/>
        <v/>
      </c>
      <c r="X70" s="7" t="str">
        <f t="shared" si="2"/>
        <v/>
      </c>
      <c r="Y70" s="7" t="str">
        <f t="shared" si="2"/>
        <v/>
      </c>
      <c r="Z70" s="7" t="str">
        <f t="shared" si="2"/>
        <v/>
      </c>
      <c r="AA70" s="7" t="str">
        <f t="shared" si="2"/>
        <v/>
      </c>
      <c r="AB70" s="7" t="str">
        <f t="shared" si="2"/>
        <v/>
      </c>
      <c r="AC70" s="7" t="str">
        <f t="shared" si="2"/>
        <v/>
      </c>
      <c r="AD70" s="7" t="str">
        <f t="shared" si="2"/>
        <v/>
      </c>
      <c r="AE70" s="7" t="str">
        <f t="shared" si="2"/>
        <v/>
      </c>
      <c r="AF70" s="7" t="str">
        <f t="shared" si="2"/>
        <v/>
      </c>
      <c r="AG70" s="7" t="str">
        <f t="shared" si="2"/>
        <v/>
      </c>
    </row>
    <row r="71" spans="1:33" x14ac:dyDescent="0.25">
      <c r="A71" s="22" t="s">
        <v>59</v>
      </c>
      <c r="B71" s="26" t="str" cm="1">
        <f t="array" ref="B71">IFERROR(IF(ROUNDUP(SUMPRODUCT(1/COUNTIF(C71:AG71,C71:AG71)),0)&lt;=2, "Passed", "Failed"),"Failed")</f>
        <v>Passed</v>
      </c>
      <c r="C71" s="7" t="str">
        <f t="shared" si="1"/>
        <v/>
      </c>
      <c r="D71" s="7" t="str">
        <f t="shared" si="2"/>
        <v/>
      </c>
      <c r="E71" s="7" t="str">
        <f t="shared" si="2"/>
        <v/>
      </c>
      <c r="F71" s="7" t="str">
        <f t="shared" si="2"/>
        <v/>
      </c>
      <c r="G71" s="7" t="str">
        <f t="shared" si="2"/>
        <v/>
      </c>
      <c r="H71" s="7" t="str">
        <f t="shared" si="2"/>
        <v/>
      </c>
      <c r="I71" s="7" t="str">
        <f t="shared" si="2"/>
        <v/>
      </c>
      <c r="J71" s="7" t="str">
        <f t="shared" si="2"/>
        <v/>
      </c>
      <c r="K71" s="7" t="str">
        <f t="shared" si="2"/>
        <v/>
      </c>
      <c r="L71" s="7" t="str">
        <f t="shared" si="2"/>
        <v/>
      </c>
      <c r="M71" s="7" t="str">
        <f t="shared" si="2"/>
        <v/>
      </c>
      <c r="N71" s="7" t="str">
        <f t="shared" si="2"/>
        <v/>
      </c>
      <c r="O71" s="7" t="str">
        <f t="shared" si="2"/>
        <v/>
      </c>
      <c r="P71" s="7" t="str">
        <f t="shared" si="2"/>
        <v/>
      </c>
      <c r="Q71" s="7" t="str">
        <f t="shared" si="2"/>
        <v/>
      </c>
      <c r="R71" s="7" t="str">
        <f t="shared" si="2"/>
        <v/>
      </c>
      <c r="S71" s="7" t="str">
        <f t="shared" si="2"/>
        <v/>
      </c>
      <c r="T71" s="7" t="str">
        <f t="shared" si="2"/>
        <v/>
      </c>
      <c r="U71" s="7" t="str">
        <f t="shared" si="2"/>
        <v/>
      </c>
      <c r="V71" s="7" t="str">
        <f t="shared" si="2"/>
        <v/>
      </c>
      <c r="W71" s="7" t="str">
        <f t="shared" si="2"/>
        <v/>
      </c>
      <c r="X71" s="7" t="str">
        <f t="shared" si="2"/>
        <v/>
      </c>
      <c r="Y71" s="7" t="str">
        <f t="shared" si="2"/>
        <v/>
      </c>
      <c r="Z71" s="7" t="str">
        <f t="shared" si="2"/>
        <v/>
      </c>
      <c r="AA71" s="7" t="str">
        <f t="shared" si="2"/>
        <v/>
      </c>
      <c r="AB71" s="7" t="str">
        <f t="shared" si="2"/>
        <v/>
      </c>
      <c r="AC71" s="7" t="str">
        <f t="shared" si="2"/>
        <v/>
      </c>
      <c r="AD71" s="7" t="str">
        <f t="shared" si="2"/>
        <v/>
      </c>
      <c r="AE71" s="7" t="str">
        <f t="shared" si="2"/>
        <v/>
      </c>
      <c r="AF71" s="7" t="str">
        <f t="shared" si="2"/>
        <v/>
      </c>
      <c r="AG71" s="7" t="str">
        <f t="shared" si="2"/>
        <v/>
      </c>
    </row>
    <row r="72" spans="1:33" x14ac:dyDescent="0.25">
      <c r="A72" s="22" t="s">
        <v>60</v>
      </c>
      <c r="B72" s="26" t="str" cm="1">
        <f t="array" ref="B72">IFERROR(IF(ROUNDUP(SUMPRODUCT(1/COUNTIF(C72:AG72,C72:AG72)),0)&lt;=2, "Passed", "Failed"),"Failed")</f>
        <v>Passed</v>
      </c>
      <c r="C72" s="7" t="str">
        <f t="shared" si="1"/>
        <v/>
      </c>
      <c r="D72" s="7" t="str">
        <f t="shared" si="2"/>
        <v/>
      </c>
      <c r="E72" s="7" t="str">
        <f t="shared" si="2"/>
        <v/>
      </c>
      <c r="F72" s="7" t="str">
        <f t="shared" si="2"/>
        <v/>
      </c>
      <c r="G72" s="7" t="str">
        <f t="shared" si="2"/>
        <v/>
      </c>
      <c r="H72" s="7" t="str">
        <f t="shared" si="2"/>
        <v/>
      </c>
      <c r="I72" s="7" t="str">
        <f t="shared" si="2"/>
        <v/>
      </c>
      <c r="J72" s="7" t="str">
        <f t="shared" si="2"/>
        <v/>
      </c>
      <c r="K72" s="7" t="str">
        <f t="shared" si="2"/>
        <v/>
      </c>
      <c r="L72" s="7" t="str">
        <f t="shared" si="2"/>
        <v/>
      </c>
      <c r="M72" s="7" t="str">
        <f t="shared" si="2"/>
        <v/>
      </c>
      <c r="N72" s="7" t="str">
        <f t="shared" si="2"/>
        <v/>
      </c>
      <c r="O72" s="7" t="str">
        <f t="shared" si="2"/>
        <v/>
      </c>
      <c r="P72" s="7" t="str">
        <f t="shared" si="2"/>
        <v/>
      </c>
      <c r="Q72" s="7" t="str">
        <f t="shared" si="2"/>
        <v/>
      </c>
      <c r="R72" s="7" t="str">
        <f t="shared" si="2"/>
        <v/>
      </c>
      <c r="S72" s="7" t="str">
        <f t="shared" si="2"/>
        <v/>
      </c>
      <c r="T72" s="7" t="str">
        <f t="shared" si="2"/>
        <v/>
      </c>
      <c r="U72" s="7" t="str">
        <f t="shared" si="2"/>
        <v/>
      </c>
      <c r="V72" s="7" t="str">
        <f t="shared" si="2"/>
        <v/>
      </c>
      <c r="W72" s="7" t="str">
        <f t="shared" si="2"/>
        <v/>
      </c>
      <c r="X72" s="7" t="str">
        <f t="shared" si="2"/>
        <v/>
      </c>
      <c r="Y72" s="7" t="str">
        <f t="shared" si="2"/>
        <v/>
      </c>
      <c r="Z72" s="7" t="str">
        <f t="shared" si="2"/>
        <v/>
      </c>
      <c r="AA72" s="7" t="str">
        <f t="shared" si="2"/>
        <v/>
      </c>
      <c r="AB72" s="7" t="str">
        <f t="shared" si="2"/>
        <v/>
      </c>
      <c r="AC72" s="7" t="str">
        <f t="shared" si="2"/>
        <v/>
      </c>
      <c r="AD72" s="7" t="str">
        <f t="shared" si="2"/>
        <v/>
      </c>
      <c r="AE72" s="7" t="str">
        <f t="shared" si="2"/>
        <v/>
      </c>
      <c r="AF72" s="7" t="str">
        <f t="shared" si="2"/>
        <v/>
      </c>
      <c r="AG72" s="7" t="str">
        <f t="shared" si="2"/>
        <v/>
      </c>
    </row>
    <row r="73" spans="1:33" x14ac:dyDescent="0.25">
      <c r="A73" s="22" t="s">
        <v>61</v>
      </c>
      <c r="B73" s="26" t="str" cm="1">
        <f t="array" ref="B73">IFERROR(IF(ROUNDUP(SUMPRODUCT(1/COUNTIF(C73:AG73,C73:AG73)),0)&lt;=2, "Passed", "Failed"),"Failed")</f>
        <v>Passed</v>
      </c>
      <c r="C73" s="7" t="str">
        <f t="shared" si="1"/>
        <v/>
      </c>
      <c r="D73" s="7" t="str">
        <f t="shared" si="2"/>
        <v/>
      </c>
      <c r="E73" s="7" t="str">
        <f t="shared" si="2"/>
        <v/>
      </c>
      <c r="F73" s="7" t="str">
        <f t="shared" si="2"/>
        <v/>
      </c>
      <c r="G73" s="7" t="str">
        <f t="shared" si="2"/>
        <v/>
      </c>
      <c r="H73" s="7" t="str">
        <f t="shared" si="2"/>
        <v/>
      </c>
      <c r="I73" s="7" t="str">
        <f t="shared" si="2"/>
        <v/>
      </c>
      <c r="J73" s="7" t="str">
        <f t="shared" si="2"/>
        <v/>
      </c>
      <c r="K73" s="7" t="str">
        <f t="shared" si="2"/>
        <v/>
      </c>
      <c r="L73" s="7" t="str">
        <f t="shared" si="2"/>
        <v/>
      </c>
      <c r="M73" s="7" t="str">
        <f t="shared" si="2"/>
        <v/>
      </c>
      <c r="N73" s="7" t="str">
        <f t="shared" si="2"/>
        <v/>
      </c>
      <c r="O73" s="7" t="str">
        <f t="shared" si="2"/>
        <v/>
      </c>
      <c r="P73" s="7" t="str">
        <f t="shared" si="2"/>
        <v/>
      </c>
      <c r="Q73" s="7" t="str">
        <f t="shared" si="2"/>
        <v/>
      </c>
      <c r="R73" s="7" t="str">
        <f t="shared" si="2"/>
        <v/>
      </c>
      <c r="S73" s="7" t="str">
        <f t="shared" si="2"/>
        <v/>
      </c>
      <c r="T73" s="7" t="str">
        <f t="shared" si="2"/>
        <v/>
      </c>
      <c r="U73" s="7" t="str">
        <f t="shared" si="2"/>
        <v/>
      </c>
      <c r="V73" s="7" t="str">
        <f t="shared" si="2"/>
        <v/>
      </c>
      <c r="W73" s="7" t="str">
        <f t="shared" si="2"/>
        <v/>
      </c>
      <c r="X73" s="7" t="str">
        <f t="shared" si="2"/>
        <v/>
      </c>
      <c r="Y73" s="7" t="str">
        <f t="shared" si="2"/>
        <v/>
      </c>
      <c r="Z73" s="7" t="str">
        <f t="shared" si="2"/>
        <v/>
      </c>
      <c r="AA73" s="7" t="str">
        <f t="shared" si="2"/>
        <v/>
      </c>
      <c r="AB73" s="7" t="str">
        <f t="shared" si="2"/>
        <v/>
      </c>
      <c r="AC73" s="7" t="str">
        <f t="shared" si="2"/>
        <v/>
      </c>
      <c r="AD73" s="7" t="str">
        <f t="shared" si="2"/>
        <v/>
      </c>
      <c r="AE73" s="7" t="str">
        <f t="shared" si="2"/>
        <v/>
      </c>
      <c r="AF73" s="7" t="str">
        <f t="shared" si="2"/>
        <v/>
      </c>
      <c r="AG73" s="7" t="str">
        <f t="shared" si="2"/>
        <v/>
      </c>
    </row>
    <row r="74" spans="1:33" x14ac:dyDescent="0.25">
      <c r="A74" s="22" t="s">
        <v>62</v>
      </c>
      <c r="B74" s="26" t="str" cm="1">
        <f t="array" ref="B74">IFERROR(IF(ROUNDUP(SUMPRODUCT(1/COUNTIF(C74:AG74,C74:AG74)),0)&lt;=2, "Passed", "Failed"),"Failed")</f>
        <v>Passed</v>
      </c>
      <c r="C74" s="7" t="str">
        <f t="shared" si="1"/>
        <v/>
      </c>
      <c r="D74" s="7" t="str">
        <f t="shared" si="2"/>
        <v/>
      </c>
      <c r="E74" s="7" t="str">
        <f t="shared" si="2"/>
        <v/>
      </c>
      <c r="F74" s="7" t="str">
        <f t="shared" si="2"/>
        <v/>
      </c>
      <c r="G74" s="7" t="str">
        <f t="shared" si="2"/>
        <v/>
      </c>
      <c r="H74" s="7" t="str">
        <f t="shared" si="2"/>
        <v/>
      </c>
      <c r="I74" s="7" t="str">
        <f t="shared" si="2"/>
        <v/>
      </c>
      <c r="J74" s="7" t="str">
        <f t="shared" si="2"/>
        <v/>
      </c>
      <c r="K74" s="7" t="str">
        <f t="shared" si="2"/>
        <v/>
      </c>
      <c r="L74" s="7" t="str">
        <f t="shared" si="2"/>
        <v/>
      </c>
      <c r="M74" s="7" t="str">
        <f t="shared" si="2"/>
        <v/>
      </c>
      <c r="N74" s="7" t="str">
        <f t="shared" si="2"/>
        <v/>
      </c>
      <c r="O74" s="7" t="str">
        <f t="shared" si="2"/>
        <v/>
      </c>
      <c r="P74" s="7" t="str">
        <f t="shared" si="2"/>
        <v/>
      </c>
      <c r="Q74" s="7" t="str">
        <f t="shared" si="2"/>
        <v/>
      </c>
      <c r="R74" s="7" t="str">
        <f t="shared" si="2"/>
        <v/>
      </c>
      <c r="S74" s="7" t="str">
        <f t="shared" si="2"/>
        <v/>
      </c>
      <c r="T74" s="7" t="str">
        <f t="shared" si="2"/>
        <v/>
      </c>
      <c r="U74" s="7" t="str">
        <f t="shared" si="2"/>
        <v/>
      </c>
      <c r="V74" s="7" t="str">
        <f t="shared" si="2"/>
        <v/>
      </c>
      <c r="W74" s="7" t="str">
        <f t="shared" si="2"/>
        <v/>
      </c>
      <c r="X74" s="7" t="str">
        <f t="shared" si="2"/>
        <v/>
      </c>
      <c r="Y74" s="7" t="str">
        <f t="shared" si="2"/>
        <v/>
      </c>
      <c r="Z74" s="7" t="str">
        <f t="shared" si="2"/>
        <v/>
      </c>
      <c r="AA74" s="7" t="str">
        <f t="shared" si="2"/>
        <v/>
      </c>
      <c r="AB74" s="7" t="str">
        <f t="shared" si="2"/>
        <v/>
      </c>
      <c r="AC74" s="7" t="str">
        <f t="shared" si="2"/>
        <v/>
      </c>
      <c r="AD74" s="7" t="str">
        <f t="shared" si="2"/>
        <v/>
      </c>
      <c r="AE74" s="7" t="str">
        <f t="shared" si="2"/>
        <v/>
      </c>
      <c r="AF74" s="7" t="str">
        <f t="shared" si="2"/>
        <v/>
      </c>
      <c r="AG74" s="7" t="str">
        <f t="shared" si="2"/>
        <v/>
      </c>
    </row>
    <row r="75" spans="1:33" x14ac:dyDescent="0.25">
      <c r="A75" s="22" t="s">
        <v>63</v>
      </c>
      <c r="B75" s="26" t="str" cm="1">
        <f t="array" ref="B75">IFERROR(IF(ROUNDUP(SUMPRODUCT(1/COUNTIF(C75:AG75,C75:AG75)),0)&lt;=2, "Passed", "Failed"),"Failed")</f>
        <v>Passed</v>
      </c>
      <c r="C75" s="7" t="str">
        <f t="shared" si="1"/>
        <v/>
      </c>
      <c r="D75" s="7" t="str">
        <f t="shared" si="2"/>
        <v/>
      </c>
      <c r="E75" s="7" t="str">
        <f t="shared" si="2"/>
        <v/>
      </c>
      <c r="F75" s="7" t="str">
        <f t="shared" si="2"/>
        <v/>
      </c>
      <c r="G75" s="7" t="str">
        <f t="shared" si="2"/>
        <v/>
      </c>
      <c r="H75" s="7" t="str">
        <f t="shared" si="2"/>
        <v/>
      </c>
      <c r="I75" s="7" t="str">
        <f t="shared" si="2"/>
        <v/>
      </c>
      <c r="J75" s="7" t="str">
        <f t="shared" si="2"/>
        <v/>
      </c>
      <c r="K75" s="7" t="str">
        <f t="shared" si="2"/>
        <v/>
      </c>
      <c r="L75" s="7" t="str">
        <f t="shared" si="2"/>
        <v/>
      </c>
      <c r="M75" s="7" t="str">
        <f t="shared" si="2"/>
        <v/>
      </c>
      <c r="N75" s="7" t="str">
        <f t="shared" si="2"/>
        <v/>
      </c>
      <c r="O75" s="7" t="str">
        <f t="shared" si="2"/>
        <v/>
      </c>
      <c r="P75" s="7" t="str">
        <f t="shared" si="2"/>
        <v/>
      </c>
      <c r="Q75" s="7" t="str">
        <f t="shared" si="2"/>
        <v/>
      </c>
      <c r="R75" s="7" t="str">
        <f t="shared" si="2"/>
        <v/>
      </c>
      <c r="S75" s="7" t="str">
        <f t="shared" si="2"/>
        <v/>
      </c>
      <c r="T75" s="7" t="str">
        <f t="shared" si="2"/>
        <v/>
      </c>
      <c r="U75" s="7" t="str">
        <f t="shared" si="2"/>
        <v/>
      </c>
      <c r="V75" s="7" t="str">
        <f t="shared" si="2"/>
        <v/>
      </c>
      <c r="W75" s="7" t="str">
        <f t="shared" si="2"/>
        <v/>
      </c>
      <c r="X75" s="7" t="str">
        <f t="shared" si="2"/>
        <v/>
      </c>
      <c r="Y75" s="7" t="str">
        <f t="shared" si="2"/>
        <v/>
      </c>
      <c r="Z75" s="7" t="str">
        <f t="shared" si="2"/>
        <v/>
      </c>
      <c r="AA75" s="7" t="str">
        <f t="shared" si="2"/>
        <v/>
      </c>
      <c r="AB75" s="7" t="str">
        <f t="shared" si="2"/>
        <v/>
      </c>
      <c r="AC75" s="7" t="str">
        <f t="shared" si="2"/>
        <v/>
      </c>
      <c r="AD75" s="7" t="str">
        <f t="shared" si="2"/>
        <v/>
      </c>
      <c r="AE75" s="7" t="str">
        <f t="shared" si="2"/>
        <v/>
      </c>
      <c r="AF75" s="7" t="str">
        <f t="shared" si="2"/>
        <v/>
      </c>
      <c r="AG75" s="7" t="str">
        <f t="shared" si="2"/>
        <v/>
      </c>
    </row>
    <row r="76" spans="1:33" x14ac:dyDescent="0.25">
      <c r="A76" s="22" t="s">
        <v>64</v>
      </c>
      <c r="B76" s="26" t="str" cm="1">
        <f t="array" ref="B76">IFERROR(IF(ROUNDUP(SUMPRODUCT(1/COUNTIF(C76:AG76,C76:AG76)),0)&lt;=2, "Passed", "Failed"),"Failed")</f>
        <v>Passed</v>
      </c>
      <c r="C76" s="7" t="str">
        <f t="shared" si="1"/>
        <v/>
      </c>
      <c r="D76" s="7" t="str">
        <f t="shared" si="2"/>
        <v/>
      </c>
      <c r="E76" s="7" t="str">
        <f t="shared" si="2"/>
        <v/>
      </c>
      <c r="F76" s="7" t="str">
        <f t="shared" si="2"/>
        <v/>
      </c>
      <c r="G76" s="7" t="str">
        <f t="shared" si="2"/>
        <v/>
      </c>
      <c r="H76" s="7" t="str">
        <f t="shared" si="2"/>
        <v/>
      </c>
      <c r="I76" s="7" t="str">
        <f t="shared" si="2"/>
        <v/>
      </c>
      <c r="J76" s="7" t="str">
        <f t="shared" si="2"/>
        <v/>
      </c>
      <c r="K76" s="7" t="str">
        <f t="shared" si="2"/>
        <v/>
      </c>
      <c r="L76" s="7" t="str">
        <f t="shared" si="2"/>
        <v/>
      </c>
      <c r="M76" s="7" t="str">
        <f t="shared" si="2"/>
        <v/>
      </c>
      <c r="N76" s="7" t="str">
        <f t="shared" si="2"/>
        <v/>
      </c>
      <c r="O76" s="7" t="str">
        <f t="shared" si="2"/>
        <v/>
      </c>
      <c r="P76" s="7" t="str">
        <f t="shared" si="2"/>
        <v/>
      </c>
      <c r="Q76" s="7" t="str">
        <f t="shared" si="2"/>
        <v/>
      </c>
      <c r="R76" s="7" t="str">
        <f t="shared" si="2"/>
        <v/>
      </c>
      <c r="S76" s="7" t="str">
        <f t="shared" si="2"/>
        <v/>
      </c>
      <c r="T76" s="7" t="str">
        <f t="shared" si="2"/>
        <v/>
      </c>
      <c r="U76" s="7" t="str">
        <f t="shared" si="2"/>
        <v/>
      </c>
      <c r="V76" s="7" t="str">
        <f t="shared" si="2"/>
        <v/>
      </c>
      <c r="W76" s="7" t="str">
        <f t="shared" si="2"/>
        <v/>
      </c>
      <c r="X76" s="7" t="str">
        <f t="shared" si="2"/>
        <v/>
      </c>
      <c r="Y76" s="7" t="str">
        <f t="shared" si="2"/>
        <v/>
      </c>
      <c r="Z76" s="7" t="str">
        <f t="shared" si="2"/>
        <v/>
      </c>
      <c r="AA76" s="7" t="str">
        <f t="shared" si="2"/>
        <v/>
      </c>
      <c r="AB76" s="7" t="str">
        <f t="shared" si="2"/>
        <v/>
      </c>
      <c r="AC76" s="7" t="str">
        <f t="shared" si="2"/>
        <v/>
      </c>
      <c r="AD76" s="7" t="str">
        <f t="shared" si="2"/>
        <v/>
      </c>
      <c r="AE76" s="7" t="str">
        <f t="shared" si="2"/>
        <v/>
      </c>
      <c r="AF76" s="7" t="str">
        <f t="shared" si="2"/>
        <v/>
      </c>
      <c r="AG76" s="7" t="str">
        <f t="shared" si="2"/>
        <v/>
      </c>
    </row>
    <row r="77" spans="1:33" x14ac:dyDescent="0.25">
      <c r="A77" s="22" t="s">
        <v>65</v>
      </c>
      <c r="B77" s="26" t="str" cm="1">
        <f t="array" ref="B77">IFERROR(IF(ROUNDUP(SUMPRODUCT(1/COUNTIF(C77:AG77,C77:AG77)),0)&lt;=2, "Passed", "Failed"),"Failed")</f>
        <v>Passed</v>
      </c>
      <c r="C77" s="7" t="str">
        <f t="shared" si="1"/>
        <v/>
      </c>
      <c r="D77" s="7" t="str">
        <f t="shared" si="2"/>
        <v/>
      </c>
      <c r="E77" s="7" t="str">
        <f t="shared" si="2"/>
        <v/>
      </c>
      <c r="F77" s="7" t="str">
        <f t="shared" si="2"/>
        <v/>
      </c>
      <c r="G77" s="7" t="str">
        <f t="shared" si="2"/>
        <v/>
      </c>
      <c r="H77" s="7" t="str">
        <f t="shared" si="2"/>
        <v/>
      </c>
      <c r="I77" s="7" t="str">
        <f t="shared" si="2"/>
        <v/>
      </c>
      <c r="J77" s="7" t="str">
        <f t="shared" si="2"/>
        <v/>
      </c>
      <c r="K77" s="7" t="str">
        <f t="shared" si="2"/>
        <v/>
      </c>
      <c r="L77" s="7" t="str">
        <f t="shared" si="2"/>
        <v/>
      </c>
      <c r="M77" s="7" t="str">
        <f t="shared" si="2"/>
        <v/>
      </c>
      <c r="N77" s="7" t="str">
        <f t="shared" si="2"/>
        <v/>
      </c>
      <c r="O77" s="7" t="str">
        <f t="shared" si="2"/>
        <v/>
      </c>
      <c r="P77" s="7" t="str">
        <f t="shared" si="2"/>
        <v/>
      </c>
      <c r="Q77" s="7" t="str">
        <f t="shared" si="2"/>
        <v/>
      </c>
      <c r="R77" s="7" t="str">
        <f t="shared" si="2"/>
        <v/>
      </c>
      <c r="S77" s="7" t="str">
        <f t="shared" si="2"/>
        <v/>
      </c>
      <c r="T77" s="7" t="str">
        <f t="shared" si="2"/>
        <v/>
      </c>
      <c r="U77" s="7" t="str">
        <f t="shared" si="2"/>
        <v/>
      </c>
      <c r="V77" s="7" t="str">
        <f t="shared" si="2"/>
        <v/>
      </c>
      <c r="W77" s="7" t="str">
        <f t="shared" si="2"/>
        <v/>
      </c>
      <c r="X77" s="7" t="str">
        <f t="shared" si="2"/>
        <v/>
      </c>
      <c r="Y77" s="7" t="str">
        <f t="shared" si="2"/>
        <v/>
      </c>
      <c r="Z77" s="7" t="str">
        <f t="shared" si="2"/>
        <v/>
      </c>
      <c r="AA77" s="7" t="str">
        <f t="shared" si="2"/>
        <v/>
      </c>
      <c r="AB77" s="7" t="str">
        <f t="shared" si="2"/>
        <v/>
      </c>
      <c r="AC77" s="7" t="str">
        <f t="shared" si="2"/>
        <v/>
      </c>
      <c r="AD77" s="7" t="str">
        <f t="shared" si="2"/>
        <v/>
      </c>
      <c r="AE77" s="7" t="str">
        <f t="shared" si="2"/>
        <v/>
      </c>
      <c r="AF77" s="7" t="str">
        <f t="shared" si="2"/>
        <v/>
      </c>
      <c r="AG77" s="7" t="str">
        <f t="shared" si="2"/>
        <v/>
      </c>
    </row>
    <row r="78" spans="1:33" x14ac:dyDescent="0.25">
      <c r="A78" s="22" t="s">
        <v>66</v>
      </c>
      <c r="B78" s="26" t="str" cm="1">
        <f t="array" ref="B78">IFERROR(IF(ROUNDUP(SUMPRODUCT(1/COUNTIF(C78:AG78,C78:AG78)),0)&lt;=2, "Passed", "Failed"),"Failed")</f>
        <v>Passed</v>
      </c>
      <c r="C78" s="7" t="str">
        <f t="shared" si="1"/>
        <v/>
      </c>
      <c r="D78" s="7" t="str">
        <f t="shared" si="2"/>
        <v/>
      </c>
      <c r="E78" s="7" t="str">
        <f t="shared" si="2"/>
        <v/>
      </c>
      <c r="F78" s="7" t="str">
        <f t="shared" si="2"/>
        <v/>
      </c>
      <c r="G78" s="7" t="str">
        <f t="shared" si="2"/>
        <v/>
      </c>
      <c r="H78" s="7" t="str">
        <f t="shared" si="2"/>
        <v/>
      </c>
      <c r="I78" s="7" t="str">
        <f t="shared" si="2"/>
        <v/>
      </c>
      <c r="J78" s="7" t="str">
        <f t="shared" si="2"/>
        <v/>
      </c>
      <c r="K78" s="7" t="str">
        <f t="shared" si="2"/>
        <v/>
      </c>
      <c r="L78" s="7" t="str">
        <f t="shared" si="2"/>
        <v/>
      </c>
      <c r="M78" s="7" t="str">
        <f t="shared" si="2"/>
        <v/>
      </c>
      <c r="N78" s="7" t="str">
        <f t="shared" si="2"/>
        <v/>
      </c>
      <c r="O78" s="7" t="str">
        <f t="shared" si="2"/>
        <v/>
      </c>
      <c r="P78" s="7" t="str">
        <f t="shared" si="2"/>
        <v/>
      </c>
      <c r="Q78" s="7" t="str">
        <f t="shared" si="2"/>
        <v/>
      </c>
      <c r="R78" s="7" t="str">
        <f t="shared" si="2"/>
        <v/>
      </c>
      <c r="S78" s="7" t="str">
        <f t="shared" ref="D78:AG79" si="3">IF(LEN(S20)=1,"",RIGHT(S20,LEN(S20)-2))</f>
        <v/>
      </c>
      <c r="T78" s="7" t="str">
        <f t="shared" si="3"/>
        <v/>
      </c>
      <c r="U78" s="7" t="str">
        <f t="shared" si="3"/>
        <v/>
      </c>
      <c r="V78" s="7" t="str">
        <f t="shared" si="3"/>
        <v/>
      </c>
      <c r="W78" s="7" t="str">
        <f t="shared" si="3"/>
        <v/>
      </c>
      <c r="X78" s="7" t="str">
        <f t="shared" si="3"/>
        <v/>
      </c>
      <c r="Y78" s="7" t="str">
        <f t="shared" si="3"/>
        <v/>
      </c>
      <c r="Z78" s="7" t="str">
        <f t="shared" si="3"/>
        <v/>
      </c>
      <c r="AA78" s="7" t="str">
        <f t="shared" si="3"/>
        <v/>
      </c>
      <c r="AB78" s="7" t="str">
        <f t="shared" si="3"/>
        <v/>
      </c>
      <c r="AC78" s="7" t="str">
        <f t="shared" si="3"/>
        <v/>
      </c>
      <c r="AD78" s="7" t="str">
        <f t="shared" si="3"/>
        <v/>
      </c>
      <c r="AE78" s="7" t="str">
        <f t="shared" si="3"/>
        <v/>
      </c>
      <c r="AF78" s="7" t="str">
        <f t="shared" si="3"/>
        <v/>
      </c>
      <c r="AG78" s="7" t="str">
        <f t="shared" si="3"/>
        <v/>
      </c>
    </row>
    <row r="79" spans="1:33" x14ac:dyDescent="0.25">
      <c r="A79" s="23" t="s">
        <v>67</v>
      </c>
      <c r="B79" s="26" t="str" cm="1">
        <f t="array" ref="B79">IFERROR(IF(ROUNDUP(SUMPRODUCT(1/COUNTIF(C79:AG79,C79:AG79)),0)&lt;=2, "Passed", "Failed"),"Failed")</f>
        <v>Passed</v>
      </c>
      <c r="C79" s="7" t="str">
        <f t="shared" si="1"/>
        <v/>
      </c>
      <c r="D79" s="7" t="str">
        <f t="shared" si="3"/>
        <v/>
      </c>
      <c r="E79" s="7" t="str">
        <f t="shared" si="3"/>
        <v/>
      </c>
      <c r="F79" s="7" t="str">
        <f t="shared" si="3"/>
        <v/>
      </c>
      <c r="G79" s="7" t="str">
        <f t="shared" si="3"/>
        <v/>
      </c>
      <c r="H79" s="7" t="str">
        <f t="shared" si="3"/>
        <v/>
      </c>
      <c r="I79" s="7" t="str">
        <f t="shared" si="3"/>
        <v/>
      </c>
      <c r="J79" s="7" t="str">
        <f t="shared" si="3"/>
        <v/>
      </c>
      <c r="K79" s="7" t="str">
        <f t="shared" si="3"/>
        <v/>
      </c>
      <c r="L79" s="7" t="str">
        <f t="shared" si="3"/>
        <v/>
      </c>
      <c r="M79" s="7" t="str">
        <f t="shared" si="3"/>
        <v/>
      </c>
      <c r="N79" s="7" t="str">
        <f t="shared" si="3"/>
        <v/>
      </c>
      <c r="O79" s="7" t="str">
        <f t="shared" si="3"/>
        <v/>
      </c>
      <c r="P79" s="7" t="str">
        <f t="shared" si="3"/>
        <v/>
      </c>
      <c r="Q79" s="7" t="str">
        <f t="shared" si="3"/>
        <v/>
      </c>
      <c r="R79" s="7" t="str">
        <f t="shared" si="3"/>
        <v/>
      </c>
      <c r="S79" s="7" t="str">
        <f t="shared" si="3"/>
        <v/>
      </c>
      <c r="T79" s="7" t="str">
        <f t="shared" si="3"/>
        <v/>
      </c>
      <c r="U79" s="7" t="str">
        <f t="shared" si="3"/>
        <v/>
      </c>
      <c r="V79" s="7" t="str">
        <f t="shared" si="3"/>
        <v/>
      </c>
      <c r="W79" s="7" t="str">
        <f t="shared" si="3"/>
        <v/>
      </c>
      <c r="X79" s="7" t="str">
        <f t="shared" si="3"/>
        <v/>
      </c>
      <c r="Y79" s="7" t="str">
        <f t="shared" si="3"/>
        <v/>
      </c>
      <c r="Z79" s="7" t="str">
        <f t="shared" si="3"/>
        <v/>
      </c>
      <c r="AA79" s="7" t="str">
        <f t="shared" si="3"/>
        <v/>
      </c>
      <c r="AB79" s="7" t="str">
        <f t="shared" si="3"/>
        <v/>
      </c>
      <c r="AC79" s="7" t="str">
        <f t="shared" si="3"/>
        <v/>
      </c>
      <c r="AD79" s="7" t="str">
        <f t="shared" si="3"/>
        <v/>
      </c>
      <c r="AE79" s="7" t="str">
        <f t="shared" si="3"/>
        <v/>
      </c>
      <c r="AF79" s="7" t="str">
        <f t="shared" si="3"/>
        <v/>
      </c>
      <c r="AG79" s="7" t="str">
        <f t="shared" si="3"/>
        <v/>
      </c>
    </row>
    <row r="81" spans="1:6" x14ac:dyDescent="0.25">
      <c r="A81" s="1" t="s">
        <v>83</v>
      </c>
    </row>
    <row r="82" spans="1:6" x14ac:dyDescent="0.25">
      <c r="A82" s="25"/>
      <c r="B82" s="27" t="s">
        <v>84</v>
      </c>
      <c r="C82" s="27" t="s">
        <v>85</v>
      </c>
      <c r="D82" s="27" t="s">
        <v>86</v>
      </c>
      <c r="E82" s="27" t="s">
        <v>87</v>
      </c>
      <c r="F82" s="28"/>
    </row>
    <row r="83" spans="1:6" x14ac:dyDescent="0.25">
      <c r="A83" s="25" t="s">
        <v>48</v>
      </c>
      <c r="B83" s="17" t="str">
        <f t="shared" ref="B83:B87" si="4">RIGHT(C25,LEN(C25)-2)</f>
        <v>Vehicles</v>
      </c>
      <c r="C83" s="17" t="e">
        <f t="shared" ref="C83:C91" si="5">RIGHT(D3,LEN(D3)-2)</f>
        <v>#VALUE!</v>
      </c>
      <c r="D83" s="17">
        <f t="shared" ref="D83:E83" si="6">HLOOKUP(B83,$A$103:$D$104,2,0)</f>
        <v>3</v>
      </c>
      <c r="E83" s="17" t="e">
        <f t="shared" si="6"/>
        <v>#VALUE!</v>
      </c>
      <c r="F83" s="29" t="e">
        <f>IF(AND(D83=4,E83=1),"Passed",IF(AND(D83-E83=-1, D83&lt;4),"Passed", "Failed"))</f>
        <v>#VALUE!</v>
      </c>
    </row>
    <row r="84" spans="1:6" x14ac:dyDescent="0.25">
      <c r="A84" s="22" t="s">
        <v>50</v>
      </c>
      <c r="B84" s="17" t="str">
        <f t="shared" si="4"/>
        <v>Pax</v>
      </c>
      <c r="C84" s="17" t="e">
        <f t="shared" si="5"/>
        <v>#VALUE!</v>
      </c>
      <c r="D84" s="17">
        <f t="shared" ref="D84:E84" si="7">HLOOKUP(B84,$A$103:$D$104,2,0)</f>
        <v>2</v>
      </c>
      <c r="E84" s="17" t="e">
        <f t="shared" si="7"/>
        <v>#VALUE!</v>
      </c>
      <c r="F84" s="29" t="e">
        <f t="shared" ref="F84:F101" si="8">IF(AND(D84=4,E84=1),"Passed",IF(AND(D84-E84=-1, D84&lt;4),"Passed", "Failed"))</f>
        <v>#VALUE!</v>
      </c>
    </row>
    <row r="85" spans="1:6" x14ac:dyDescent="0.25">
      <c r="A85" s="22" t="s">
        <v>51</v>
      </c>
      <c r="B85" s="17" t="str">
        <f t="shared" si="4"/>
        <v>Cargo</v>
      </c>
      <c r="C85" s="17" t="e">
        <f t="shared" si="5"/>
        <v>#VALUE!</v>
      </c>
      <c r="D85" s="17">
        <f t="shared" ref="D85:E85" si="9">HLOOKUP(B85,$A$103:$D$104,2,0)</f>
        <v>1</v>
      </c>
      <c r="E85" s="17" t="e">
        <f t="shared" si="9"/>
        <v>#VALUE!</v>
      </c>
      <c r="F85" s="29" t="e">
        <f t="shared" si="8"/>
        <v>#VALUE!</v>
      </c>
    </row>
    <row r="86" spans="1:6" x14ac:dyDescent="0.25">
      <c r="A86" s="22" t="s">
        <v>52</v>
      </c>
      <c r="B86" s="17" t="str">
        <f t="shared" si="4"/>
        <v>Vehicles</v>
      </c>
      <c r="C86" s="17" t="e">
        <f t="shared" si="5"/>
        <v>#VALUE!</v>
      </c>
      <c r="D86" s="17">
        <f t="shared" ref="D86:E86" si="10">HLOOKUP(B86,$A$103:$D$104,2,0)</f>
        <v>3</v>
      </c>
      <c r="E86" s="17" t="e">
        <f t="shared" si="10"/>
        <v>#VALUE!</v>
      </c>
      <c r="F86" s="29" t="e">
        <f t="shared" si="8"/>
        <v>#VALUE!</v>
      </c>
    </row>
    <row r="87" spans="1:6" x14ac:dyDescent="0.25">
      <c r="A87" s="22" t="s">
        <v>53</v>
      </c>
      <c r="B87" s="17" t="str">
        <f t="shared" si="4"/>
        <v>Train</v>
      </c>
      <c r="C87" s="17" t="e">
        <f t="shared" si="5"/>
        <v>#VALUE!</v>
      </c>
      <c r="D87" s="17">
        <f t="shared" ref="D87:E87" si="11">HLOOKUP(B87,$A$103:$D$104,2,0)</f>
        <v>4</v>
      </c>
      <c r="E87" s="17" t="e">
        <f t="shared" si="11"/>
        <v>#VALUE!</v>
      </c>
      <c r="F87" s="29" t="e">
        <f t="shared" si="8"/>
        <v>#VALUE!</v>
      </c>
    </row>
    <row r="88" spans="1:6" x14ac:dyDescent="0.25">
      <c r="A88" s="22" t="s">
        <v>54</v>
      </c>
      <c r="B88" s="17" t="str">
        <f t="shared" ref="B88:B91" si="12">RIGHT(D30,LEN(D30)-2)</f>
        <v>Vehicles</v>
      </c>
      <c r="C88" s="17" t="e">
        <f t="shared" si="5"/>
        <v>#VALUE!</v>
      </c>
      <c r="D88" s="17">
        <f t="shared" ref="D88:E88" si="13">HLOOKUP(B88,$A$103:$D$104,2,0)</f>
        <v>3</v>
      </c>
      <c r="E88" s="17" t="e">
        <f t="shared" si="13"/>
        <v>#VALUE!</v>
      </c>
      <c r="F88" s="29" t="e">
        <f t="shared" si="8"/>
        <v>#VALUE!</v>
      </c>
    </row>
    <row r="89" spans="1:6" x14ac:dyDescent="0.25">
      <c r="A89" s="22" t="s">
        <v>55</v>
      </c>
      <c r="B89" s="17" t="str">
        <f t="shared" si="12"/>
        <v>Train</v>
      </c>
      <c r="C89" s="17" t="e">
        <f t="shared" si="5"/>
        <v>#VALUE!</v>
      </c>
      <c r="D89" s="17">
        <f t="shared" ref="D89:E89" si="14">HLOOKUP(B89,$A$103:$D$104,2,0)</f>
        <v>4</v>
      </c>
      <c r="E89" s="17" t="e">
        <f t="shared" si="14"/>
        <v>#VALUE!</v>
      </c>
      <c r="F89" s="29" t="e">
        <f t="shared" si="8"/>
        <v>#VALUE!</v>
      </c>
    </row>
    <row r="90" spans="1:6" x14ac:dyDescent="0.25">
      <c r="A90" s="22" t="s">
        <v>56</v>
      </c>
      <c r="B90" s="17" t="str">
        <f t="shared" si="12"/>
        <v>Pax</v>
      </c>
      <c r="C90" s="17" t="e">
        <f t="shared" si="5"/>
        <v>#VALUE!</v>
      </c>
      <c r="D90" s="17">
        <f t="shared" ref="D90:E90" si="15">HLOOKUP(B90,$A$103:$D$104,2,0)</f>
        <v>2</v>
      </c>
      <c r="E90" s="17" t="e">
        <f t="shared" si="15"/>
        <v>#VALUE!</v>
      </c>
      <c r="F90" s="29" t="e">
        <f t="shared" si="8"/>
        <v>#VALUE!</v>
      </c>
    </row>
    <row r="91" spans="1:6" x14ac:dyDescent="0.25">
      <c r="A91" s="22" t="s">
        <v>57</v>
      </c>
      <c r="B91" s="17" t="str">
        <f t="shared" si="12"/>
        <v>Cargo</v>
      </c>
      <c r="C91" s="17" t="e">
        <f t="shared" si="5"/>
        <v>#VALUE!</v>
      </c>
      <c r="D91" s="17">
        <f t="shared" ref="D91:E91" si="16">HLOOKUP(B91,$A$103:$D$104,2,0)</f>
        <v>1</v>
      </c>
      <c r="E91" s="17" t="e">
        <f t="shared" si="16"/>
        <v>#VALUE!</v>
      </c>
      <c r="F91" s="29" t="e">
        <f t="shared" si="8"/>
        <v>#VALUE!</v>
      </c>
    </row>
    <row r="92" spans="1:6" x14ac:dyDescent="0.25">
      <c r="A92" s="22" t="s">
        <v>58</v>
      </c>
      <c r="B92" s="17" t="str">
        <f t="shared" ref="B92:B95" si="17">RIGHT(C34,LEN(C34)-2)</f>
        <v>Vehicles</v>
      </c>
      <c r="C92" s="17" t="e">
        <f t="shared" ref="C92:C96" si="18">RIGHT(E12,LEN(E12)-2)</f>
        <v>#VALUE!</v>
      </c>
      <c r="D92" s="17">
        <f t="shared" ref="D92:E92" si="19">HLOOKUP(B92,$A$103:$D$104,2,0)</f>
        <v>3</v>
      </c>
      <c r="E92" s="17" t="e">
        <f t="shared" si="19"/>
        <v>#VALUE!</v>
      </c>
      <c r="F92" s="29" t="e">
        <f t="shared" si="8"/>
        <v>#VALUE!</v>
      </c>
    </row>
    <row r="93" spans="1:6" x14ac:dyDescent="0.25">
      <c r="A93" s="22" t="s">
        <v>59</v>
      </c>
      <c r="B93" s="17" t="str">
        <f t="shared" si="17"/>
        <v>Train</v>
      </c>
      <c r="C93" s="17" t="e">
        <f t="shared" si="18"/>
        <v>#VALUE!</v>
      </c>
      <c r="D93" s="17">
        <f t="shared" ref="D93:E93" si="20">HLOOKUP(B93,$A$103:$D$104,2,0)</f>
        <v>4</v>
      </c>
      <c r="E93" s="17" t="e">
        <f t="shared" si="20"/>
        <v>#VALUE!</v>
      </c>
      <c r="F93" s="29" t="e">
        <f t="shared" si="8"/>
        <v>#VALUE!</v>
      </c>
    </row>
    <row r="94" spans="1:6" x14ac:dyDescent="0.25">
      <c r="A94" s="22" t="s">
        <v>60</v>
      </c>
      <c r="B94" s="17" t="str">
        <f t="shared" si="17"/>
        <v>Pax</v>
      </c>
      <c r="C94" s="17" t="e">
        <f t="shared" si="18"/>
        <v>#VALUE!</v>
      </c>
      <c r="D94" s="17">
        <f t="shared" ref="D94:E94" si="21">HLOOKUP(B94,$A$103:$D$104,2,0)</f>
        <v>2</v>
      </c>
      <c r="E94" s="17" t="e">
        <f t="shared" si="21"/>
        <v>#VALUE!</v>
      </c>
      <c r="F94" s="29" t="e">
        <f t="shared" si="8"/>
        <v>#VALUE!</v>
      </c>
    </row>
    <row r="95" spans="1:6" x14ac:dyDescent="0.25">
      <c r="A95" s="22" t="s">
        <v>61</v>
      </c>
      <c r="B95" s="17" t="str">
        <f t="shared" si="17"/>
        <v>Cargo</v>
      </c>
      <c r="C95" s="17" t="e">
        <f t="shared" si="18"/>
        <v>#VALUE!</v>
      </c>
      <c r="D95" s="17">
        <f t="shared" ref="D95:E95" si="22">HLOOKUP(B95,$A$103:$D$104,2,0)</f>
        <v>1</v>
      </c>
      <c r="E95" s="17" t="e">
        <f t="shared" si="22"/>
        <v>#VALUE!</v>
      </c>
      <c r="F95" s="29" t="e">
        <f t="shared" si="8"/>
        <v>#VALUE!</v>
      </c>
    </row>
    <row r="96" spans="1:6" x14ac:dyDescent="0.25">
      <c r="A96" s="22" t="s">
        <v>62</v>
      </c>
      <c r="C96" s="17" t="e">
        <f t="shared" si="18"/>
        <v>#VALUE!</v>
      </c>
      <c r="D96" s="17">
        <v>0</v>
      </c>
      <c r="E96" s="17" t="e">
        <f>HLOOKUP(C96,$A$103:$D$104,2,0)</f>
        <v>#VALUE!</v>
      </c>
      <c r="F96" s="29" t="e">
        <f t="shared" si="8"/>
        <v>#VALUE!</v>
      </c>
    </row>
    <row r="97" spans="1:6" x14ac:dyDescent="0.25">
      <c r="A97" s="22" t="s">
        <v>63</v>
      </c>
      <c r="B97" s="17" t="str">
        <f t="shared" ref="B97:B101" si="23">RIGHT(C39,LEN(C39)-2)</f>
        <v>Vehicles</v>
      </c>
      <c r="C97" s="17" t="e">
        <f t="shared" ref="C97:C101" si="24">RIGHT(D17,LEN(D17)-2)</f>
        <v>#VALUE!</v>
      </c>
      <c r="D97" s="17">
        <f t="shared" ref="D97:E97" si="25">HLOOKUP(B97,$A$103:$D$104,2,0)</f>
        <v>3</v>
      </c>
      <c r="E97" s="17" t="e">
        <f t="shared" si="25"/>
        <v>#VALUE!</v>
      </c>
      <c r="F97" s="29" t="e">
        <f t="shared" si="8"/>
        <v>#VALUE!</v>
      </c>
    </row>
    <row r="98" spans="1:6" x14ac:dyDescent="0.25">
      <c r="A98" s="22" t="s">
        <v>64</v>
      </c>
      <c r="B98" s="17" t="str">
        <f t="shared" si="23"/>
        <v>Cargo</v>
      </c>
      <c r="C98" s="17" t="e">
        <f t="shared" si="24"/>
        <v>#VALUE!</v>
      </c>
      <c r="D98" s="17">
        <f t="shared" ref="D98:E98" si="26">HLOOKUP(B98,$A$103:$D$104,2,0)</f>
        <v>1</v>
      </c>
      <c r="E98" s="17" t="e">
        <f t="shared" si="26"/>
        <v>#VALUE!</v>
      </c>
      <c r="F98" s="29" t="e">
        <f t="shared" si="8"/>
        <v>#VALUE!</v>
      </c>
    </row>
    <row r="99" spans="1:6" x14ac:dyDescent="0.25">
      <c r="A99" s="22" t="s">
        <v>65</v>
      </c>
      <c r="B99" s="17" t="str">
        <f t="shared" si="23"/>
        <v>Train</v>
      </c>
      <c r="C99" s="17" t="e">
        <f t="shared" si="24"/>
        <v>#VALUE!</v>
      </c>
      <c r="D99" s="17">
        <f t="shared" ref="D99:E99" si="27">HLOOKUP(B99,$A$103:$D$104,2,0)</f>
        <v>4</v>
      </c>
      <c r="E99" s="17" t="e">
        <f t="shared" si="27"/>
        <v>#VALUE!</v>
      </c>
      <c r="F99" s="29" t="e">
        <f t="shared" si="8"/>
        <v>#VALUE!</v>
      </c>
    </row>
    <row r="100" spans="1:6" x14ac:dyDescent="0.25">
      <c r="A100" s="22" t="s">
        <v>66</v>
      </c>
      <c r="B100" s="17" t="str">
        <f t="shared" si="23"/>
        <v>Pax</v>
      </c>
      <c r="C100" s="17" t="e">
        <f t="shared" si="24"/>
        <v>#VALUE!</v>
      </c>
      <c r="D100" s="17">
        <f t="shared" ref="D100:E100" si="28">HLOOKUP(B100,$A$103:$D$104,2,0)</f>
        <v>2</v>
      </c>
      <c r="E100" s="17" t="e">
        <f t="shared" si="28"/>
        <v>#VALUE!</v>
      </c>
      <c r="F100" s="29" t="e">
        <f t="shared" si="8"/>
        <v>#VALUE!</v>
      </c>
    </row>
    <row r="101" spans="1:6" x14ac:dyDescent="0.25">
      <c r="A101" s="23" t="s">
        <v>67</v>
      </c>
      <c r="B101" s="30" t="str">
        <f t="shared" si="23"/>
        <v>Vehicles</v>
      </c>
      <c r="C101" s="30" t="e">
        <f t="shared" si="24"/>
        <v>#VALUE!</v>
      </c>
      <c r="D101" s="30">
        <f t="shared" ref="D101:E101" si="29">HLOOKUP(B101,$A$103:$D$104,2,0)</f>
        <v>3</v>
      </c>
      <c r="E101" s="30" t="e">
        <f t="shared" si="29"/>
        <v>#VALUE!</v>
      </c>
      <c r="F101" s="29" t="e">
        <f t="shared" si="8"/>
        <v>#VALUE!</v>
      </c>
    </row>
    <row r="103" spans="1:6" x14ac:dyDescent="0.25">
      <c r="A103" s="17" t="s">
        <v>34</v>
      </c>
      <c r="B103" s="17" t="s">
        <v>38</v>
      </c>
      <c r="C103" s="17" t="s">
        <v>39</v>
      </c>
      <c r="D103" s="17" t="s">
        <v>40</v>
      </c>
    </row>
    <row r="104" spans="1:6" x14ac:dyDescent="0.25">
      <c r="A104" s="17">
        <v>1</v>
      </c>
      <c r="B104" s="17">
        <v>2</v>
      </c>
      <c r="C104" s="17">
        <v>3</v>
      </c>
      <c r="D104" s="17">
        <v>4</v>
      </c>
    </row>
  </sheetData>
  <conditionalFormatting sqref="B61:B79">
    <cfRule type="cellIs" dxfId="9" priority="7" operator="equal">
      <formula>"Passed"</formula>
    </cfRule>
    <cfRule type="cellIs" dxfId="8" priority="8" operator="equal">
      <formula>"Failed"</formula>
    </cfRule>
  </conditionalFormatting>
  <conditionalFormatting sqref="C3:AG21 C25:AF43">
    <cfRule type="beginsWith" dxfId="7" priority="1" operator="beginsWith" text="O">
      <formula>LEFT((C3),LEN("O"))=("O")</formula>
    </cfRule>
    <cfRule type="beginsWith" dxfId="6" priority="2" operator="beginsWith" text="M">
      <formula>LEFT((C3),LEN("M"))=("M")</formula>
    </cfRule>
    <cfRule type="beginsWith" dxfId="5" priority="3" operator="beginsWith" text="A">
      <formula>LEFT((C3),LEN("A"))=("A")</formula>
    </cfRule>
    <cfRule type="beginsWith" dxfId="4" priority="4" operator="beginsWith" text="N">
      <formula>LEFT((C3),LEN("N"))=("N")</formula>
    </cfRule>
  </conditionalFormatting>
  <conditionalFormatting sqref="C47:AG58">
    <cfRule type="cellIs" dxfId="3" priority="5" operator="equal">
      <formula>"Passed"</formula>
    </cfRule>
    <cfRule type="cellIs" dxfId="2" priority="6" operator="equal">
      <formula>"Failed"</formula>
    </cfRule>
  </conditionalFormatting>
  <conditionalFormatting sqref="F83:F101">
    <cfRule type="beginsWith" dxfId="1" priority="9" operator="beginsWith" text="Passed">
      <formula>LEFT((F83),LEN("Passed"))=("Passed")</formula>
    </cfRule>
    <cfRule type="notContainsText" dxfId="0" priority="10" operator="notContains" text="Passed">
      <formula>ISERROR(SEARCH(("Passed"),(F83)))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Description</vt:lpstr>
      <vt:lpstr>Q1 Answer</vt:lpstr>
      <vt:lpstr>Q2 Answer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Thanh Tran Viet</cp:lastModifiedBy>
  <dcterms:modified xsi:type="dcterms:W3CDTF">2026-04-11T23:17:27Z</dcterms:modified>
</cp:coreProperties>
</file>